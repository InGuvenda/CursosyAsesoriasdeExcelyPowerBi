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hp-360\Documents\EXCEL ING. SANDRA\"/>
    </mc:Choice>
  </mc:AlternateContent>
  <xr:revisionPtr revIDLastSave="0" documentId="8_{4BD0015E-3AB0-4E30-9191-A4E95E3824F2}" xr6:coauthVersionLast="47" xr6:coauthVersionMax="47" xr10:uidLastSave="{00000000-0000-0000-0000-000000000000}"/>
  <bookViews>
    <workbookView xWindow="-120" yWindow="-120" windowWidth="20730" windowHeight="11040" activeTab="8" xr2:uid="{2F9A7E60-03F7-4580-A13B-65BD801A25AD}"/>
  </bookViews>
  <sheets>
    <sheet name="MENU" sheetId="1" r:id="rId1"/>
    <sheet name="INVENTARIO" sheetId="2" r:id="rId2"/>
    <sheet name="BD INVENTARIO" sheetId="3" r:id="rId3"/>
    <sheet name="CONTROL REPARACION" sheetId="4" r:id="rId4"/>
    <sheet name="BD CONTROL REPARACION" sheetId="5" r:id="rId5"/>
    <sheet name="COSTO PIEZAS &amp; SERVICIOS" sheetId="7" r:id="rId6"/>
    <sheet name="PRESUPUESTO" sheetId="6" r:id="rId7"/>
    <sheet name="SALIDAS" sheetId="9" r:id="rId8"/>
    <sheet name="REPORTE MENSUAL" sheetId="8" r:id="rId9"/>
  </sheets>
  <definedNames>
    <definedName name="_xlnm._FilterDatabase" localSheetId="5" hidden="1">'COSTO PIEZAS &amp; SERVICIOS'!$B$8:$B$19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6" l="1"/>
  <c r="D5" i="6"/>
  <c r="F19" i="7"/>
  <c r="F20" i="7"/>
  <c r="F21" i="7"/>
  <c r="F22" i="7"/>
  <c r="F23" i="7"/>
  <c r="B13" i="9"/>
  <c r="B14" i="9"/>
  <c r="B15" i="9"/>
  <c r="B16" i="9"/>
  <c r="B17" i="9"/>
  <c r="B18" i="9"/>
  <c r="B19" i="9"/>
  <c r="B20" i="9"/>
  <c r="B21" i="9"/>
  <c r="C13" i="9"/>
  <c r="C14" i="9"/>
  <c r="C15" i="9"/>
  <c r="E15" i="9" s="1"/>
  <c r="C16" i="9"/>
  <c r="C17" i="9"/>
  <c r="C18" i="9"/>
  <c r="C19" i="9"/>
  <c r="C20" i="9"/>
  <c r="C21" i="9"/>
  <c r="E21" i="9" s="1"/>
  <c r="D13" i="9"/>
  <c r="D14" i="9"/>
  <c r="D15" i="9"/>
  <c r="D16" i="9"/>
  <c r="D17" i="9"/>
  <c r="D18" i="9"/>
  <c r="E18" i="9" s="1"/>
  <c r="D19" i="9"/>
  <c r="D20" i="9"/>
  <c r="D21" i="9"/>
  <c r="E14" i="9"/>
  <c r="F13" i="9"/>
  <c r="F14" i="9"/>
  <c r="H14" i="9" s="1"/>
  <c r="I14" i="9" s="1"/>
  <c r="F15" i="9"/>
  <c r="F16" i="9"/>
  <c r="F17" i="9"/>
  <c r="H17" i="9" s="1"/>
  <c r="I17" i="9" s="1"/>
  <c r="F18" i="9"/>
  <c r="H18" i="9" s="1"/>
  <c r="I18" i="9" s="1"/>
  <c r="F19" i="9"/>
  <c r="F20" i="9"/>
  <c r="H20" i="9" s="1"/>
  <c r="I20" i="9" s="1"/>
  <c r="F21" i="9"/>
  <c r="H21" i="9" s="1"/>
  <c r="I21" i="9" s="1"/>
  <c r="G14" i="9"/>
  <c r="G15" i="9"/>
  <c r="G16" i="9"/>
  <c r="G17" i="9"/>
  <c r="G18" i="9"/>
  <c r="G19" i="9"/>
  <c r="G20" i="9"/>
  <c r="G21" i="9"/>
  <c r="H15" i="9"/>
  <c r="I15" i="9" s="1"/>
  <c r="H16" i="9"/>
  <c r="I16" i="9" s="1"/>
  <c r="H19" i="9"/>
  <c r="I19" i="9" s="1"/>
  <c r="B7" i="9"/>
  <c r="B8" i="9"/>
  <c r="B9" i="9"/>
  <c r="B10" i="9"/>
  <c r="B11" i="9"/>
  <c r="B12" i="9"/>
  <c r="C7" i="9"/>
  <c r="C8" i="9"/>
  <c r="C9" i="9"/>
  <c r="C10" i="9"/>
  <c r="C11" i="9"/>
  <c r="C12" i="9"/>
  <c r="D7" i="9"/>
  <c r="E7" i="9" s="1"/>
  <c r="D8" i="9"/>
  <c r="D9" i="9"/>
  <c r="D10" i="9"/>
  <c r="D11" i="9"/>
  <c r="E11" i="9" s="1"/>
  <c r="D12" i="9"/>
  <c r="E12" i="9" s="1"/>
  <c r="F7" i="9"/>
  <c r="F8" i="9"/>
  <c r="F9" i="9"/>
  <c r="F10" i="9"/>
  <c r="F11" i="9"/>
  <c r="F12" i="9"/>
  <c r="G7" i="9"/>
  <c r="H7" i="9" s="1"/>
  <c r="I7" i="9" s="1"/>
  <c r="G9" i="9"/>
  <c r="G10" i="9"/>
  <c r="G11" i="9"/>
  <c r="F6" i="9"/>
  <c r="D6" i="9"/>
  <c r="E6" i="9" s="1"/>
  <c r="C6" i="9"/>
  <c r="B6" i="9"/>
  <c r="E8" i="7"/>
  <c r="E9" i="7"/>
  <c r="F9" i="7" s="1"/>
  <c r="G13" i="9" s="1"/>
  <c r="E10" i="7"/>
  <c r="F10" i="7" s="1"/>
  <c r="E11" i="7"/>
  <c r="E12" i="7"/>
  <c r="E13" i="7"/>
  <c r="E14" i="7"/>
  <c r="F14" i="7" s="1"/>
  <c r="E15" i="7"/>
  <c r="F15" i="7" s="1"/>
  <c r="E16" i="7"/>
  <c r="F16" i="7" s="1"/>
  <c r="G6" i="9" s="1"/>
  <c r="H6" i="9" s="1"/>
  <c r="I6" i="9" s="1"/>
  <c r="E17" i="7"/>
  <c r="F17" i="7" s="1"/>
  <c r="G8" i="9" s="1"/>
  <c r="H8" i="9" s="1"/>
  <c r="I8" i="9" s="1"/>
  <c r="E18" i="7"/>
  <c r="F18" i="7" s="1"/>
  <c r="D9" i="6" s="1"/>
  <c r="E19" i="7"/>
  <c r="E20" i="7"/>
  <c r="E21" i="7"/>
  <c r="E22" i="7"/>
  <c r="E23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G2" i="5"/>
  <c r="G3" i="5"/>
  <c r="G4" i="5"/>
  <c r="G5" i="5"/>
  <c r="D6" i="6"/>
  <c r="D8" i="6"/>
  <c r="G6" i="5"/>
  <c r="G7" i="5"/>
  <c r="E20" i="3"/>
  <c r="E19" i="3"/>
  <c r="E18" i="3"/>
  <c r="G8" i="5"/>
  <c r="G9" i="5"/>
  <c r="G10" i="5"/>
  <c r="G11" i="5"/>
  <c r="G12" i="5"/>
  <c r="G14" i="5"/>
  <c r="G15" i="5"/>
  <c r="G16" i="5"/>
  <c r="G13" i="5"/>
  <c r="B12" i="4"/>
  <c r="E17" i="3"/>
  <c r="E16" i="3"/>
  <c r="E13" i="3"/>
  <c r="E14" i="3"/>
  <c r="E15" i="3"/>
  <c r="E3" i="3"/>
  <c r="E4" i="3"/>
  <c r="E5" i="3"/>
  <c r="E6" i="3"/>
  <c r="E7" i="3"/>
  <c r="E8" i="3"/>
  <c r="E9" i="3"/>
  <c r="E10" i="3"/>
  <c r="E11" i="3"/>
  <c r="E12" i="3"/>
  <c r="D14" i="2"/>
  <c r="E2" i="3"/>
  <c r="H9" i="9" l="1"/>
  <c r="I9" i="9" s="1"/>
  <c r="E17" i="9"/>
  <c r="H13" i="9"/>
  <c r="I13" i="9" s="1"/>
  <c r="E19" i="9"/>
  <c r="H10" i="9"/>
  <c r="I10" i="9" s="1"/>
  <c r="E10" i="9"/>
  <c r="E8" i="9"/>
  <c r="H11" i="9"/>
  <c r="I11" i="9" s="1"/>
  <c r="E9" i="9"/>
  <c r="E20" i="9"/>
  <c r="E16" i="9"/>
  <c r="E13" i="9"/>
  <c r="F12" i="7"/>
  <c r="F8" i="7"/>
  <c r="G12" i="9" s="1"/>
  <c r="H12" i="9" s="1"/>
  <c r="I12" i="9" s="1"/>
  <c r="F11" i="7"/>
  <c r="F13" i="7"/>
  <c r="D7" i="6"/>
  <c r="D10" i="6"/>
  <c r="D11" i="6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</futureMetadata>
  <valueMetadata count="2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</valueMetadata>
</metadata>
</file>

<file path=xl/sharedStrings.xml><?xml version="1.0" encoding="utf-8"?>
<sst xmlns="http://schemas.openxmlformats.org/spreadsheetml/2006/main" count="144" uniqueCount="79">
  <si>
    <t>PIEZA</t>
  </si>
  <si>
    <t>ID</t>
  </si>
  <si>
    <t>CANTIDAD</t>
  </si>
  <si>
    <t>DENTRO O FUERA DE TALLER</t>
  </si>
  <si>
    <t>CODIGO QR</t>
  </si>
  <si>
    <t>FUERA</t>
  </si>
  <si>
    <t>DENTRO</t>
  </si>
  <si>
    <t>¿</t>
  </si>
  <si>
    <t>cautin</t>
  </si>
  <si>
    <t>dentro</t>
  </si>
  <si>
    <t>COMPRESOR</t>
  </si>
  <si>
    <t>ELECTRO</t>
  </si>
  <si>
    <t>ENFRIADOR</t>
  </si>
  <si>
    <t>PANTALLA</t>
  </si>
  <si>
    <t>PINZAS</t>
  </si>
  <si>
    <t>MONITOR</t>
  </si>
  <si>
    <t>TALADRO</t>
  </si>
  <si>
    <t>TACHUELA</t>
  </si>
  <si>
    <t>BOMBA</t>
  </si>
  <si>
    <t>RESISTOR</t>
  </si>
  <si>
    <t>FECHA DE ENTREGA</t>
  </si>
  <si>
    <t>FECHA DE INGRESO</t>
  </si>
  <si>
    <t>CUANTO DEJO DE ANTICIPO</t>
  </si>
  <si>
    <t>CAFETERA</t>
  </si>
  <si>
    <t>CENTRIFUGADO</t>
  </si>
  <si>
    <t xml:space="preserve">EL EQUIPO NO HACE LA PARTE DEL CENTRIFUGADO, </t>
  </si>
  <si>
    <t>CAUTIN</t>
  </si>
  <si>
    <t>MOTOR</t>
  </si>
  <si>
    <t>EMBOBINADO</t>
  </si>
  <si>
    <t>FALLA EMBOBINADO</t>
  </si>
  <si>
    <t>REVOLUCIONES</t>
  </si>
  <si>
    <t>FALLA LA PARTE DEL MOTOR EMBOBINADO POSIBLE CAMBIO DE CABLE</t>
  </si>
  <si>
    <t>CAMBIO DE MOTOR PARA GIRO DE CENTRIFUGA</t>
  </si>
  <si>
    <t xml:space="preserve">MOTOR </t>
  </si>
  <si>
    <t>VALVULA</t>
  </si>
  <si>
    <t>ELECTROIMAN</t>
  </si>
  <si>
    <t>GANANCIA</t>
  </si>
  <si>
    <t>ID SERVICIO</t>
  </si>
  <si>
    <t>FECHA DE EGRESO</t>
  </si>
  <si>
    <t>DIAS POR CERRAR ENTREGA</t>
  </si>
  <si>
    <t xml:space="preserve">ADELANTO POR SERVICIO </t>
  </si>
  <si>
    <t>TOTAL A PAGAR</t>
  </si>
  <si>
    <t>POR PAGAR</t>
  </si>
  <si>
    <t>Etiquetas de fila</t>
  </si>
  <si>
    <t>Cuenta de ID SERVICIO</t>
  </si>
  <si>
    <t>Total general</t>
  </si>
  <si>
    <t>BOBINA</t>
  </si>
  <si>
    <t>ELECTRONICA</t>
  </si>
  <si>
    <t xml:space="preserve">GANANCIA </t>
  </si>
  <si>
    <t xml:space="preserve">COSTO TOTAL DE PRODUCTOS </t>
  </si>
  <si>
    <t>CHUMACERA</t>
  </si>
  <si>
    <t>VALVULA DE 3 VIAS</t>
  </si>
  <si>
    <t>COSTO DE PIEZAS/SERVICIO</t>
  </si>
  <si>
    <t>cambio de bobina</t>
  </si>
  <si>
    <t>PIEZA/SERVICIO</t>
  </si>
  <si>
    <t>COSTO  PIEZA/SERVICIO</t>
  </si>
  <si>
    <t>CARBURADOR</t>
  </si>
  <si>
    <t>CAMBIO DE ACEITE</t>
  </si>
  <si>
    <t>SISTEMA DE AIRE</t>
  </si>
  <si>
    <t>TIENE EL SISITEMA DE AIRE DESCOMPENSADO</t>
  </si>
  <si>
    <t>SELENOIDE</t>
  </si>
  <si>
    <t>CALEFACCION</t>
  </si>
  <si>
    <t>AIRE CONDICIONADO</t>
  </si>
  <si>
    <t>BOTONERA</t>
  </si>
  <si>
    <t>ENCHUFE</t>
  </si>
  <si>
    <t>APAGADO</t>
  </si>
  <si>
    <t>TARJETA</t>
  </si>
  <si>
    <t>TIEMPO</t>
  </si>
  <si>
    <t>TOQUES</t>
  </si>
  <si>
    <t>CAPACITOR</t>
  </si>
  <si>
    <t>RESISTENCIA</t>
  </si>
  <si>
    <t>CABLE</t>
  </si>
  <si>
    <t>BIEN O PRODUCTO</t>
  </si>
  <si>
    <t>DESCRIPCION DE FALLA</t>
  </si>
  <si>
    <t>ENTREGADO</t>
  </si>
  <si>
    <t>(en blanco)</t>
  </si>
  <si>
    <t>#N/D</t>
  </si>
  <si>
    <t>SI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</si>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</sst>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XDR&quot;* #,##0.00_-;\-&quot;XDR&quot;* #,##0.00_-;_-&quot;XDR&quot;* &quot;-&quot;??_-;_-@_-"/>
    <numFmt numFmtId="164" formatCode="_-[$$-409]* #,##0.00_ ;_-[$$-409]* \-#,##0.00\ ;_-[$$-409]* &quot;-&quot;??_ ;_-@_ "/>
  </numFmts>
  <fonts count="11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DLaM Display"/>
    </font>
    <font>
      <b/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DLaM Display"/>
    </font>
    <font>
      <sz val="10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3" borderId="0" xfId="0" applyFill="1"/>
    <xf numFmtId="0" fontId="2" fillId="2" borderId="0" xfId="0" applyFont="1" applyFill="1"/>
    <xf numFmtId="0" fontId="1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/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4" borderId="2" xfId="0" applyNumberFormat="1" applyFill="1" applyBorder="1"/>
    <xf numFmtId="0" fontId="0" fillId="0" borderId="0" xfId="0" applyProtection="1">
      <protection locked="0"/>
    </xf>
    <xf numFmtId="164" fontId="0" fillId="0" borderId="0" xfId="1" applyNumberFormat="1" applyFont="1" applyProtection="1">
      <protection locked="0"/>
    </xf>
    <xf numFmtId="9" fontId="0" fillId="0" borderId="2" xfId="2" applyFont="1" applyBorder="1" applyAlignment="1" applyProtection="1">
      <protection locked="0"/>
    </xf>
    <xf numFmtId="0" fontId="0" fillId="0" borderId="0" xfId="0" applyAlignment="1">
      <alignment horizontal="right"/>
    </xf>
    <xf numFmtId="0" fontId="8" fillId="0" borderId="0" xfId="0" applyFont="1" applyAlignment="1">
      <alignment horizontal="right"/>
    </xf>
    <xf numFmtId="14" fontId="8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right"/>
    </xf>
    <xf numFmtId="164" fontId="8" fillId="6" borderId="0" xfId="0" applyNumberFormat="1" applyFont="1" applyFill="1" applyAlignment="1">
      <alignment horizontal="right"/>
    </xf>
    <xf numFmtId="0" fontId="9" fillId="5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164" fontId="0" fillId="0" borderId="0" xfId="1" applyNumberFormat="1" applyFont="1" applyProtection="1"/>
    <xf numFmtId="0" fontId="8" fillId="0" borderId="2" xfId="0" applyFont="1" applyBorder="1" applyAlignment="1" applyProtection="1">
      <alignment horizontal="right"/>
      <protection locked="0"/>
    </xf>
    <xf numFmtId="0" fontId="8" fillId="0" borderId="2" xfId="0" applyFont="1" applyBorder="1" applyAlignment="1">
      <alignment horizontal="right"/>
    </xf>
    <xf numFmtId="14" fontId="8" fillId="0" borderId="2" xfId="0" applyNumberFormat="1" applyFont="1" applyBorder="1" applyAlignment="1">
      <alignment horizontal="right"/>
    </xf>
    <xf numFmtId="164" fontId="8" fillId="0" borderId="2" xfId="0" applyNumberFormat="1" applyFont="1" applyBorder="1" applyAlignment="1">
      <alignment horizontal="right"/>
    </xf>
    <xf numFmtId="164" fontId="8" fillId="6" borderId="2" xfId="0" applyNumberFormat="1" applyFont="1" applyFill="1" applyBorder="1" applyAlignment="1">
      <alignment horizontal="right"/>
    </xf>
    <xf numFmtId="0" fontId="5" fillId="7" borderId="2" xfId="0" applyFont="1" applyFill="1" applyBorder="1"/>
    <xf numFmtId="0" fontId="5" fillId="6" borderId="2" xfId="0" applyFont="1" applyFill="1" applyBorder="1"/>
    <xf numFmtId="0" fontId="9" fillId="5" borderId="4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/>
      <protection locked="0"/>
    </xf>
    <xf numFmtId="0" fontId="9" fillId="5" borderId="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0" xfId="0" applyFill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34">
    <dxf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_-[$$-409]* #,##0.00_ ;_-[$$-409]* \-#,##0.00\ ;_-[$$-409]* &quot;-&quot;??_ ;_-@_ "/>
      <fill>
        <patternFill patternType="solid">
          <fgColor indexed="64"/>
          <bgColor rgb="FFFFC000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_-[$$-409]* #,##0.00_ ;_-[$$-409]* \-#,##0.00\ ;_-[$$-409]* &quot;-&quot;??_ ;_-@_ "/>
      <protection locked="1" hidden="0"/>
    </dxf>
    <dxf>
      <numFmt numFmtId="164" formatCode="_-[$$-409]* #,##0.00_ ;_-[$$-409]* \-#,##0.00\ ;_-[$$-409]* &quot;-&quot;??_ ;_-@_ "/>
      <protection locked="1" hidden="0"/>
    </dxf>
    <dxf>
      <numFmt numFmtId="164" formatCode="_-[$$-409]* #,##0.00_ ;_-[$$-409]* \-#,##0.00\ ;_-[$$-409]* &quot;-&quot;??_ ;_-@_ "/>
      <protection locked="0" hidden="0"/>
    </dxf>
    <dxf>
      <protection locked="0" hidden="0"/>
    </dxf>
    <dxf>
      <protection locked="0" hidden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0/07/relationships/rdRichValueWebImage" Target="richData/rdRichValueWebImage.xml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[Tronar contraseña.xlsm]REPORTE MENSUAL!TablaDinámica2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flip="none" rotWithShape="1">
            <a:gsLst>
              <a:gs pos="0">
                <a:schemeClr val="accent4"/>
              </a:gs>
              <a:gs pos="75000">
                <a:schemeClr val="accent4">
                  <a:lumMod val="60000"/>
                  <a:lumOff val="40000"/>
                </a:schemeClr>
              </a:gs>
              <a:gs pos="51000">
                <a:schemeClr val="accent4">
                  <a:alpha val="75000"/>
                </a:schemeClr>
              </a:gs>
              <a:gs pos="100000">
                <a:schemeClr val="accent4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MENSUAL'!$E$7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'REPORTE MENSUAL'!$D$8:$D$21</c:f>
              <c:multiLvlStrCache>
                <c:ptCount val="10"/>
                <c:lvl>
                  <c:pt idx="0">
                    <c:v>AIRE CONDICIONADO</c:v>
                  </c:pt>
                  <c:pt idx="1">
                    <c:v>CALEFACCION</c:v>
                  </c:pt>
                  <c:pt idx="2">
                    <c:v>EMBOBINADO</c:v>
                  </c:pt>
                  <c:pt idx="3">
                    <c:v>ENCHUFE</c:v>
                  </c:pt>
                  <c:pt idx="4">
                    <c:v>TIEMPO</c:v>
                  </c:pt>
                  <c:pt idx="5">
                    <c:v>REVOLUCIONES</c:v>
                  </c:pt>
                  <c:pt idx="6">
                    <c:v>APAGADO</c:v>
                  </c:pt>
                  <c:pt idx="7">
                    <c:v>SISTEMA DE AIRE</c:v>
                  </c:pt>
                  <c:pt idx="8">
                    <c:v>TARJETA</c:v>
                  </c:pt>
                  <c:pt idx="9">
                    <c:v>#N/D</c:v>
                  </c:pt>
                </c:lvl>
                <c:lvl>
                  <c:pt idx="0">
                    <c:v>NO</c:v>
                  </c:pt>
                  <c:pt idx="6">
                    <c:v>SI</c:v>
                  </c:pt>
                  <c:pt idx="9">
                    <c:v>(en blanco)</c:v>
                  </c:pt>
                </c:lvl>
              </c:multiLvlStrCache>
            </c:multiLvlStrRef>
          </c:cat>
          <c:val>
            <c:numRef>
              <c:f>'REPORTE MENSUAL'!$E$8:$E$21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7D0D-46AB-9C48-DEB52AB7E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08238479"/>
        <c:axId val="508233679"/>
      </c:barChart>
      <c:catAx>
        <c:axId val="508238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508233679"/>
        <c:crosses val="autoZero"/>
        <c:auto val="1"/>
        <c:lblAlgn val="ctr"/>
        <c:lblOffset val="100"/>
        <c:noMultiLvlLbl val="0"/>
      </c:catAx>
      <c:valAx>
        <c:axId val="50823367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508238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jpeg"/><Relationship Id="rId3" Type="http://schemas.openxmlformats.org/officeDocument/2006/relationships/hyperlink" Target="#'REPORTE MENSUAL'!A1"/><Relationship Id="rId7" Type="http://schemas.openxmlformats.org/officeDocument/2006/relationships/hyperlink" Target="https://educateaqui.online/excelente-curso-del-paso-a-paso-de-la-refrigeracion-y-aire-acondicionado/" TargetMode="External"/><Relationship Id="rId2" Type="http://schemas.openxmlformats.org/officeDocument/2006/relationships/hyperlink" Target="#INVENTARIO!A1"/><Relationship Id="rId1" Type="http://schemas.openxmlformats.org/officeDocument/2006/relationships/hyperlink" Target="#'CONTROL REPARACION'!A1"/><Relationship Id="rId6" Type="http://schemas.openxmlformats.org/officeDocument/2006/relationships/image" Target="../media/image29.jpg"/><Relationship Id="rId5" Type="http://schemas.openxmlformats.org/officeDocument/2006/relationships/hyperlink" Target="#'COSTO PIEZAS &amp; SERVICIOS'!A1"/><Relationship Id="rId4" Type="http://schemas.openxmlformats.org/officeDocument/2006/relationships/hyperlink" Target="#PRESUPUESTO!A1"/><Relationship Id="rId9" Type="http://schemas.openxmlformats.org/officeDocument/2006/relationships/hyperlink" Target="#SALID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hyperlink" Target="#'BD INVENTARIO'!A1"/><Relationship Id="rId1" Type="http://schemas.openxmlformats.org/officeDocument/2006/relationships/hyperlink" Target="#MENU!F1"/><Relationship Id="rId5" Type="http://schemas.openxmlformats.org/officeDocument/2006/relationships/image" Target="../media/image30.jpeg"/><Relationship Id="rId4" Type="http://schemas.openxmlformats.org/officeDocument/2006/relationships/image" Target="../media/image32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jpeg"/><Relationship Id="rId2" Type="http://schemas.openxmlformats.org/officeDocument/2006/relationships/hyperlink" Target="#'BD CONTROL REPARACION'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CONTROL REPARACION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PRESUPUESTO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spera.pe/proceso_de_financiamiento/" TargetMode="External"/><Relationship Id="rId2" Type="http://schemas.openxmlformats.org/officeDocument/2006/relationships/image" Target="../media/image33.jpeg"/><Relationship Id="rId1" Type="http://schemas.openxmlformats.org/officeDocument/2006/relationships/hyperlink" Target="#MENU!A1"/><Relationship Id="rId4" Type="http://schemas.openxmlformats.org/officeDocument/2006/relationships/hyperlink" Target="#'COSTO PIEZAS &amp; SERVICIOS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683418</xdr:colOff>
      <xdr:row>14</xdr:row>
      <xdr:rowOff>40480</xdr:rowOff>
    </xdr:from>
    <xdr:to>
      <xdr:col>9</xdr:col>
      <xdr:colOff>488156</xdr:colOff>
      <xdr:row>19</xdr:row>
      <xdr:rowOff>59530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FEF6CA-8827-FF55-AA3E-46F962C31C91}"/>
            </a:ext>
          </a:extLst>
        </xdr:cNvPr>
        <xdr:cNvSpPr/>
      </xdr:nvSpPr>
      <xdr:spPr>
        <a:xfrm>
          <a:off x="6791324" y="2921793"/>
          <a:ext cx="2090738" cy="97155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/>
            <a:t>CONTROL</a:t>
          </a:r>
          <a:r>
            <a:rPr lang="es-419" sz="1100" b="1" baseline="0"/>
            <a:t> DE REPARACION</a:t>
          </a:r>
          <a:endParaRPr lang="es-419" sz="1100" b="1"/>
        </a:p>
      </xdr:txBody>
    </xdr:sp>
    <xdr:clientData/>
  </xdr:twoCellAnchor>
  <xdr:twoCellAnchor>
    <xdr:from>
      <xdr:col>6</xdr:col>
      <xdr:colOff>614361</xdr:colOff>
      <xdr:row>3</xdr:row>
      <xdr:rowOff>304800</xdr:rowOff>
    </xdr:from>
    <xdr:to>
      <xdr:col>9</xdr:col>
      <xdr:colOff>273843</xdr:colOff>
      <xdr:row>9</xdr:row>
      <xdr:rowOff>-1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1E4DDF-70EF-46F4-AFC0-7637C59E6D0B}"/>
            </a:ext>
          </a:extLst>
        </xdr:cNvPr>
        <xdr:cNvSpPr/>
      </xdr:nvSpPr>
      <xdr:spPr>
        <a:xfrm>
          <a:off x="6722267" y="876300"/>
          <a:ext cx="1945482" cy="1052512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/>
            <a:t>INVENTARIO</a:t>
          </a:r>
          <a:r>
            <a:rPr lang="es-419" sz="1100" b="1" baseline="0"/>
            <a:t> DE PIEZAS</a:t>
          </a:r>
          <a:endParaRPr lang="es-419" sz="1100" b="1"/>
        </a:p>
      </xdr:txBody>
    </xdr:sp>
    <xdr:clientData/>
  </xdr:twoCellAnchor>
  <xdr:twoCellAnchor>
    <xdr:from>
      <xdr:col>1</xdr:col>
      <xdr:colOff>447675</xdr:colOff>
      <xdr:row>3</xdr:row>
      <xdr:rowOff>342899</xdr:rowOff>
    </xdr:from>
    <xdr:to>
      <xdr:col>4</xdr:col>
      <xdr:colOff>321469</xdr:colOff>
      <xdr:row>9</xdr:row>
      <xdr:rowOff>23811</xdr:rowOff>
    </xdr:to>
    <xdr:sp macro="" textlink="">
      <xdr:nvSpPr>
        <xdr:cNvPr id="5" name="Rectángulo: esquinas redondeada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3D557E-3D31-458C-8E8C-EF80D1C93235}"/>
            </a:ext>
          </a:extLst>
        </xdr:cNvPr>
        <xdr:cNvSpPr/>
      </xdr:nvSpPr>
      <xdr:spPr>
        <a:xfrm>
          <a:off x="1209675" y="914399"/>
          <a:ext cx="2159794" cy="10382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/>
            <a:t>REPORTE</a:t>
          </a:r>
          <a:r>
            <a:rPr lang="es-419" sz="1100" b="1" baseline="0"/>
            <a:t> MENSUAL</a:t>
          </a:r>
          <a:endParaRPr lang="es-419" sz="1100" b="1"/>
        </a:p>
      </xdr:txBody>
    </xdr:sp>
    <xdr:clientData/>
  </xdr:twoCellAnchor>
  <xdr:twoCellAnchor>
    <xdr:from>
      <xdr:col>4</xdr:col>
      <xdr:colOff>1071563</xdr:colOff>
      <xdr:row>14</xdr:row>
      <xdr:rowOff>2382</xdr:rowOff>
    </xdr:from>
    <xdr:to>
      <xdr:col>6</xdr:col>
      <xdr:colOff>119063</xdr:colOff>
      <xdr:row>19</xdr:row>
      <xdr:rowOff>166688</xdr:rowOff>
    </xdr:to>
    <xdr:sp macro="" textlink="">
      <xdr:nvSpPr>
        <xdr:cNvPr id="6" name="Rectángulo: esquinas redondeada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60BDA1-DF2D-4059-AB6B-8605664D255F}"/>
            </a:ext>
          </a:extLst>
        </xdr:cNvPr>
        <xdr:cNvSpPr/>
      </xdr:nvSpPr>
      <xdr:spPr>
        <a:xfrm>
          <a:off x="4119563" y="2883695"/>
          <a:ext cx="2107406" cy="1116806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/>
            <a:t>HOJA</a:t>
          </a:r>
          <a:r>
            <a:rPr lang="es-419" sz="1100" b="1" baseline="0"/>
            <a:t> DE PRESUPUESTO</a:t>
          </a:r>
          <a:endParaRPr lang="es-419" sz="1100" b="1"/>
        </a:p>
      </xdr:txBody>
    </xdr:sp>
    <xdr:clientData/>
  </xdr:twoCellAnchor>
  <xdr:twoCellAnchor>
    <xdr:from>
      <xdr:col>1</xdr:col>
      <xdr:colOff>447675</xdr:colOff>
      <xdr:row>14</xdr:row>
      <xdr:rowOff>7144</xdr:rowOff>
    </xdr:from>
    <xdr:to>
      <xdr:col>4</xdr:col>
      <xdr:colOff>261937</xdr:colOff>
      <xdr:row>19</xdr:row>
      <xdr:rowOff>154781</xdr:rowOff>
    </xdr:to>
    <xdr:sp macro="" textlink="">
      <xdr:nvSpPr>
        <xdr:cNvPr id="7" name="Rectángulo: esquinas redondeada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2619E00-FE8A-4F6A-8B77-B5C000C48A71}"/>
            </a:ext>
          </a:extLst>
        </xdr:cNvPr>
        <xdr:cNvSpPr/>
      </xdr:nvSpPr>
      <xdr:spPr>
        <a:xfrm>
          <a:off x="1209675" y="2888457"/>
          <a:ext cx="2100262" cy="1100137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 i="0"/>
            <a:t>COSTO DE PIEZAS</a:t>
          </a:r>
        </a:p>
      </xdr:txBody>
    </xdr:sp>
    <xdr:clientData/>
  </xdr:twoCellAnchor>
  <xdr:twoCellAnchor editAs="oneCell">
    <xdr:from>
      <xdr:col>10</xdr:col>
      <xdr:colOff>123824</xdr:colOff>
      <xdr:row>4</xdr:row>
      <xdr:rowOff>66675</xdr:rowOff>
    </xdr:from>
    <xdr:to>
      <xdr:col>14</xdr:col>
      <xdr:colOff>180974</xdr:colOff>
      <xdr:row>20</xdr:row>
      <xdr:rowOff>128588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8EE18A1-3E8C-A65E-335F-D1BF862EE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279730" y="1042988"/>
          <a:ext cx="3105150" cy="3109913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14</xdr:col>
      <xdr:colOff>439119</xdr:colOff>
      <xdr:row>1</xdr:row>
      <xdr:rowOff>47624</xdr:rowOff>
    </xdr:from>
    <xdr:to>
      <xdr:col>16</xdr:col>
      <xdr:colOff>95250</xdr:colOff>
      <xdr:row>6</xdr:row>
      <xdr:rowOff>61491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33FB04D-D8A1-4A3E-FFBF-43CF6E1ED0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3025" y="238124"/>
          <a:ext cx="1180131" cy="118068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4</xdr:col>
      <xdr:colOff>1059655</xdr:colOff>
      <xdr:row>3</xdr:row>
      <xdr:rowOff>321469</xdr:rowOff>
    </xdr:from>
    <xdr:to>
      <xdr:col>5</xdr:col>
      <xdr:colOff>707231</xdr:colOff>
      <xdr:row>9</xdr:row>
      <xdr:rowOff>16668</xdr:rowOff>
    </xdr:to>
    <xdr:sp macro="" textlink="">
      <xdr:nvSpPr>
        <xdr:cNvPr id="4" name="Rectángulo: esquinas redondeadas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968C0C-5B05-4AF1-B1B7-7C2A83F94EE6}"/>
            </a:ext>
          </a:extLst>
        </xdr:cNvPr>
        <xdr:cNvSpPr/>
      </xdr:nvSpPr>
      <xdr:spPr>
        <a:xfrm>
          <a:off x="4107655" y="892969"/>
          <a:ext cx="1945482" cy="105251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/>
            <a:t>SALIDAS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8792</xdr:colOff>
      <xdr:row>6</xdr:row>
      <xdr:rowOff>114300</xdr:rowOff>
    </xdr:from>
    <xdr:to>
      <xdr:col>12</xdr:col>
      <xdr:colOff>424961</xdr:colOff>
      <xdr:row>10</xdr:row>
      <xdr:rowOff>0</xdr:rowOff>
    </xdr:to>
    <xdr:sp macro="" textlink="">
      <xdr:nvSpPr>
        <xdr:cNvPr id="2" name="Flecha: pentá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2B20B3-4506-0BA2-937A-A95D8022CD8C}"/>
            </a:ext>
          </a:extLst>
        </xdr:cNvPr>
        <xdr:cNvSpPr/>
      </xdr:nvSpPr>
      <xdr:spPr>
        <a:xfrm>
          <a:off x="10735407" y="1257300"/>
          <a:ext cx="1940169" cy="764931"/>
        </a:xfrm>
        <a:prstGeom prst="homePlate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>
              <a:latin typeface="Gadugi" panose="020B0502040204020203" pitchFamily="34" charset="0"/>
              <a:ea typeface="Gadugi" panose="020B0502040204020203" pitchFamily="34" charset="0"/>
            </a:rPr>
            <a:t>MENU</a:t>
          </a:r>
        </a:p>
      </xdr:txBody>
    </xdr:sp>
    <xdr:clientData/>
  </xdr:twoCellAnchor>
  <xdr:twoCellAnchor>
    <xdr:from>
      <xdr:col>1</xdr:col>
      <xdr:colOff>23812</xdr:colOff>
      <xdr:row>10</xdr:row>
      <xdr:rowOff>33339</xdr:rowOff>
    </xdr:from>
    <xdr:to>
      <xdr:col>2</xdr:col>
      <xdr:colOff>723900</xdr:colOff>
      <xdr:row>10</xdr:row>
      <xdr:rowOff>654844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58A6E53-CD13-48A0-96FE-47946C89747B}"/>
            </a:ext>
          </a:extLst>
        </xdr:cNvPr>
        <xdr:cNvSpPr/>
      </xdr:nvSpPr>
      <xdr:spPr>
        <a:xfrm>
          <a:off x="785812" y="1473995"/>
          <a:ext cx="1462088" cy="62150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400"/>
            <a:t>ID</a:t>
          </a:r>
        </a:p>
      </xdr:txBody>
    </xdr:sp>
    <xdr:clientData/>
  </xdr:twoCellAnchor>
  <xdr:twoCellAnchor>
    <xdr:from>
      <xdr:col>1</xdr:col>
      <xdr:colOff>28575</xdr:colOff>
      <xdr:row>11</xdr:row>
      <xdr:rowOff>9525</xdr:rowOff>
    </xdr:from>
    <xdr:to>
      <xdr:col>2</xdr:col>
      <xdr:colOff>742950</xdr:colOff>
      <xdr:row>11</xdr:row>
      <xdr:rowOff>476250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AB143B5-67DE-45A1-AA97-6C9A0AF89B25}"/>
            </a:ext>
          </a:extLst>
        </xdr:cNvPr>
        <xdr:cNvSpPr/>
      </xdr:nvSpPr>
      <xdr:spPr>
        <a:xfrm>
          <a:off x="790575" y="2333625"/>
          <a:ext cx="1476375" cy="46672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400"/>
            <a:t>CANTIDAD</a:t>
          </a:r>
        </a:p>
      </xdr:txBody>
    </xdr:sp>
    <xdr:clientData/>
  </xdr:twoCellAnchor>
  <xdr:twoCellAnchor>
    <xdr:from>
      <xdr:col>1</xdr:col>
      <xdr:colOff>38100</xdr:colOff>
      <xdr:row>12</xdr:row>
      <xdr:rowOff>0</xdr:rowOff>
    </xdr:from>
    <xdr:to>
      <xdr:col>2</xdr:col>
      <xdr:colOff>714375</xdr:colOff>
      <xdr:row>12</xdr:row>
      <xdr:rowOff>833437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F7F37B2-8234-43EC-873D-5A9110B82BA3}"/>
            </a:ext>
          </a:extLst>
        </xdr:cNvPr>
        <xdr:cNvSpPr/>
      </xdr:nvSpPr>
      <xdr:spPr>
        <a:xfrm>
          <a:off x="800100" y="2690813"/>
          <a:ext cx="1438275" cy="833437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400"/>
            <a:t>DENTRO</a:t>
          </a:r>
          <a:r>
            <a:rPr lang="es-419" sz="1400" baseline="0"/>
            <a:t> O FUERA DE TALLER</a:t>
          </a:r>
          <a:endParaRPr lang="es-419" sz="1400"/>
        </a:p>
      </xdr:txBody>
    </xdr:sp>
    <xdr:clientData/>
  </xdr:twoCellAnchor>
  <xdr:twoCellAnchor>
    <xdr:from>
      <xdr:col>3</xdr:col>
      <xdr:colOff>428625</xdr:colOff>
      <xdr:row>0</xdr:row>
      <xdr:rowOff>38100</xdr:rowOff>
    </xdr:from>
    <xdr:to>
      <xdr:col>9</xdr:col>
      <xdr:colOff>19050</xdr:colOff>
      <xdr:row>5</xdr:row>
      <xdr:rowOff>66675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5CE5CF71-2402-91DB-027D-ECF54EABA459}"/>
            </a:ext>
          </a:extLst>
        </xdr:cNvPr>
        <xdr:cNvSpPr/>
      </xdr:nvSpPr>
      <xdr:spPr>
        <a:xfrm>
          <a:off x="2714625" y="38100"/>
          <a:ext cx="7267575" cy="409575"/>
        </a:xfrm>
        <a:prstGeom prst="roundRect">
          <a:avLst/>
        </a:prstGeom>
        <a:gradFill>
          <a:gsLst>
            <a:gs pos="67000">
              <a:schemeClr val="tx2">
                <a:lumMod val="25000"/>
                <a:lumOff val="75000"/>
              </a:schemeClr>
            </a:gs>
            <a:gs pos="20000">
              <a:schemeClr val="accent1">
                <a:lumMod val="20000"/>
                <a:lumOff val="80000"/>
              </a:schemeClr>
            </a:gs>
            <a:gs pos="93000">
              <a:schemeClr val="tx2">
                <a:lumMod val="50000"/>
                <a:lumOff val="50000"/>
              </a:schemeClr>
            </a:gs>
            <a:gs pos="5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600" b="1">
              <a:solidFill>
                <a:sysClr val="windowText" lastClr="000000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INVENTARIO DE PIEZAS</a:t>
          </a:r>
          <a:endParaRPr lang="es-419" sz="1800" b="1">
            <a:solidFill>
              <a:sysClr val="windowText" lastClr="000000"/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</xdr:col>
      <xdr:colOff>9526</xdr:colOff>
      <xdr:row>13</xdr:row>
      <xdr:rowOff>211930</xdr:rowOff>
    </xdr:from>
    <xdr:to>
      <xdr:col>2</xdr:col>
      <xdr:colOff>695326</xdr:colOff>
      <xdr:row>13</xdr:row>
      <xdr:rowOff>1059655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63451A97-F88F-4BBC-9475-499BF3C3E5F2}"/>
            </a:ext>
          </a:extLst>
        </xdr:cNvPr>
        <xdr:cNvSpPr/>
      </xdr:nvSpPr>
      <xdr:spPr>
        <a:xfrm>
          <a:off x="771526" y="3640930"/>
          <a:ext cx="1447800" cy="84772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400"/>
            <a:t>CÓDIGO</a:t>
          </a:r>
          <a:r>
            <a:rPr lang="es-419" sz="1400" baseline="0"/>
            <a:t> QR</a:t>
          </a:r>
          <a:endParaRPr lang="es-419" sz="1400"/>
        </a:p>
      </xdr:txBody>
    </xdr:sp>
    <xdr:clientData/>
  </xdr:twoCellAnchor>
  <xdr:twoCellAnchor>
    <xdr:from>
      <xdr:col>6</xdr:col>
      <xdr:colOff>351693</xdr:colOff>
      <xdr:row>10</xdr:row>
      <xdr:rowOff>527539</xdr:rowOff>
    </xdr:from>
    <xdr:to>
      <xdr:col>9</xdr:col>
      <xdr:colOff>113568</xdr:colOff>
      <xdr:row>13</xdr:row>
      <xdr:rowOff>165771</xdr:rowOff>
    </xdr:to>
    <xdr:sp macro="[0]!U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59C8E334-5AA6-B16A-625F-64F0661F185F}"/>
            </a:ext>
          </a:extLst>
        </xdr:cNvPr>
        <xdr:cNvSpPr/>
      </xdr:nvSpPr>
      <xdr:spPr>
        <a:xfrm>
          <a:off x="8030308" y="2549770"/>
          <a:ext cx="2047875" cy="1733732"/>
        </a:xfrm>
        <a:prstGeom prst="flowChartConnector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600" b="1">
              <a:solidFill>
                <a:sysClr val="windowText" lastClr="000000"/>
              </a:solidFill>
            </a:rPr>
            <a:t>PRESIONE</a:t>
          </a:r>
          <a:r>
            <a:rPr lang="es-419" sz="1600" b="1" baseline="0">
              <a:solidFill>
                <a:sysClr val="windowText" lastClr="000000"/>
              </a:solidFill>
            </a:rPr>
            <a:t> PARA GUARDAR</a:t>
          </a:r>
          <a:endParaRPr lang="es-419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23812</xdr:colOff>
      <xdr:row>9</xdr:row>
      <xdr:rowOff>38100</xdr:rowOff>
    </xdr:from>
    <xdr:to>
      <xdr:col>2</xdr:col>
      <xdr:colOff>733425</xdr:colOff>
      <xdr:row>9</xdr:row>
      <xdr:rowOff>504825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1D02022-A4E8-4DFD-BFE1-C20D60DB9E3B}"/>
            </a:ext>
          </a:extLst>
        </xdr:cNvPr>
        <xdr:cNvSpPr/>
      </xdr:nvSpPr>
      <xdr:spPr>
        <a:xfrm>
          <a:off x="785812" y="966788"/>
          <a:ext cx="1471613" cy="46672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400"/>
            <a:t>PIEZA</a:t>
          </a:r>
        </a:p>
      </xdr:txBody>
    </xdr:sp>
    <xdr:clientData/>
  </xdr:twoCellAnchor>
  <xdr:twoCellAnchor>
    <xdr:from>
      <xdr:col>11</xdr:col>
      <xdr:colOff>278423</xdr:colOff>
      <xdr:row>11</xdr:row>
      <xdr:rowOff>58616</xdr:rowOff>
    </xdr:from>
    <xdr:to>
      <xdr:col>14</xdr:col>
      <xdr:colOff>175846</xdr:colOff>
      <xdr:row>12</xdr:row>
      <xdr:rowOff>512885</xdr:rowOff>
    </xdr:to>
    <xdr:sp macro="" textlink="">
      <xdr:nvSpPr>
        <xdr:cNvPr id="3" name="Ond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3BB935-ED91-47B2-B3D5-D7C189FF0EB2}"/>
            </a:ext>
          </a:extLst>
        </xdr:cNvPr>
        <xdr:cNvSpPr/>
      </xdr:nvSpPr>
      <xdr:spPr>
        <a:xfrm>
          <a:off x="11767038" y="2769578"/>
          <a:ext cx="2183423" cy="1011115"/>
        </a:xfrm>
        <a:prstGeom prst="wave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600">
              <a:latin typeface="Gadugi" panose="020B0502040204020203" pitchFamily="34" charset="0"/>
              <a:ea typeface="Gadugi" panose="020B0502040204020203" pitchFamily="34" charset="0"/>
            </a:rPr>
            <a:t>BD INVENTARIO</a:t>
          </a:r>
        </a:p>
      </xdr:txBody>
    </xdr:sp>
    <xdr:clientData/>
  </xdr:twoCellAnchor>
  <xdr:twoCellAnchor editAs="oneCell">
    <xdr:from>
      <xdr:col>7</xdr:col>
      <xdr:colOff>293079</xdr:colOff>
      <xdr:row>12</xdr:row>
      <xdr:rowOff>556845</xdr:rowOff>
    </xdr:from>
    <xdr:to>
      <xdr:col>8</xdr:col>
      <xdr:colOff>445479</xdr:colOff>
      <xdr:row>13</xdr:row>
      <xdr:rowOff>621322</xdr:rowOff>
    </xdr:to>
    <xdr:pic>
      <xdr:nvPicPr>
        <xdr:cNvPr id="12" name="Gráfico 11" descr="Flecha lineal: curva con sentido de las agujas del reloj con relleno sólido">
          <a:extLst>
            <a:ext uri="{FF2B5EF4-FFF2-40B4-BE49-F238E27FC236}">
              <a16:creationId xmlns:a16="http://schemas.microsoft.com/office/drawing/2014/main" id="{61522BB8-0641-7A9C-D905-DE7C1C5A8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8733694" y="38246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381000</xdr:colOff>
      <xdr:row>0</xdr:row>
      <xdr:rowOff>146539</xdr:rowOff>
    </xdr:from>
    <xdr:to>
      <xdr:col>16</xdr:col>
      <xdr:colOff>37131</xdr:colOff>
      <xdr:row>6</xdr:row>
      <xdr:rowOff>169565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BED4F9C-81AE-4419-BC62-F624D8728B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5615" y="146539"/>
          <a:ext cx="1180131" cy="118068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152400</xdr:rowOff>
    </xdr:from>
    <xdr:to>
      <xdr:col>7</xdr:col>
      <xdr:colOff>466725</xdr:colOff>
      <xdr:row>0</xdr:row>
      <xdr:rowOff>642939</xdr:rowOff>
    </xdr:to>
    <xdr:sp macro="" textlink="">
      <xdr:nvSpPr>
        <xdr:cNvPr id="2" name="Flecha: pentá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2E31FF-087C-4A4A-A624-2E9900633B72}"/>
            </a:ext>
          </a:extLst>
        </xdr:cNvPr>
        <xdr:cNvSpPr/>
      </xdr:nvSpPr>
      <xdr:spPr>
        <a:xfrm>
          <a:off x="10629900" y="152400"/>
          <a:ext cx="1200150" cy="490539"/>
        </a:xfrm>
        <a:prstGeom prst="homePlate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>
              <a:latin typeface="Gadugi" panose="020B0502040204020203" pitchFamily="34" charset="0"/>
              <a:ea typeface="Gadugi" panose="020B0502040204020203" pitchFamily="34" charset="0"/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1000125</xdr:colOff>
      <xdr:row>5</xdr:row>
      <xdr:rowOff>114300</xdr:rowOff>
    </xdr:from>
    <xdr:to>
      <xdr:col>0</xdr:col>
      <xdr:colOff>2390775</xdr:colOff>
      <xdr:row>5</xdr:row>
      <xdr:rowOff>685799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595536C-1D45-59EC-48F1-6A70371101AD}"/>
            </a:ext>
          </a:extLst>
        </xdr:cNvPr>
        <xdr:cNvSpPr/>
      </xdr:nvSpPr>
      <xdr:spPr>
        <a:xfrm>
          <a:off x="1000125" y="685800"/>
          <a:ext cx="1390650" cy="5714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ID SERVICIO</a:t>
          </a:r>
        </a:p>
      </xdr:txBody>
    </xdr:sp>
    <xdr:clientData/>
  </xdr:twoCellAnchor>
  <xdr:twoCellAnchor>
    <xdr:from>
      <xdr:col>0</xdr:col>
      <xdr:colOff>981075</xdr:colOff>
      <xdr:row>6</xdr:row>
      <xdr:rowOff>133350</xdr:rowOff>
    </xdr:from>
    <xdr:to>
      <xdr:col>0</xdr:col>
      <xdr:colOff>2371725</xdr:colOff>
      <xdr:row>6</xdr:row>
      <xdr:rowOff>704849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B3C018-C29B-4551-A8CB-B6E53AADE1D3}"/>
            </a:ext>
          </a:extLst>
        </xdr:cNvPr>
        <xdr:cNvSpPr/>
      </xdr:nvSpPr>
      <xdr:spPr>
        <a:xfrm>
          <a:off x="981075" y="1514475"/>
          <a:ext cx="1390650" cy="5714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BIEN O PRODUCTO</a:t>
          </a:r>
          <a:endParaRPr lang="es-419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962025</xdr:colOff>
      <xdr:row>7</xdr:row>
      <xdr:rowOff>133350</xdr:rowOff>
    </xdr:from>
    <xdr:to>
      <xdr:col>0</xdr:col>
      <xdr:colOff>2352675</xdr:colOff>
      <xdr:row>7</xdr:row>
      <xdr:rowOff>704849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BB31E32-A43B-4790-8BF6-6F0F330DEC30}"/>
            </a:ext>
          </a:extLst>
        </xdr:cNvPr>
        <xdr:cNvSpPr/>
      </xdr:nvSpPr>
      <xdr:spPr>
        <a:xfrm>
          <a:off x="962025" y="2324100"/>
          <a:ext cx="1390650" cy="5714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FECHA DE INGRESO</a:t>
          </a:r>
          <a:r>
            <a:rPr lang="es-419" b="1">
              <a:solidFill>
                <a:sysClr val="windowText" lastClr="000000"/>
              </a:solidFill>
              <a:effectLst/>
            </a:rPr>
            <a:t> </a:t>
          </a:r>
          <a:endParaRPr lang="es-419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952500</xdr:colOff>
      <xdr:row>8</xdr:row>
      <xdr:rowOff>152400</xdr:rowOff>
    </xdr:from>
    <xdr:to>
      <xdr:col>0</xdr:col>
      <xdr:colOff>2343150</xdr:colOff>
      <xdr:row>8</xdr:row>
      <xdr:rowOff>723899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A0ACD59-090A-417B-88D4-EA22A29345D6}"/>
            </a:ext>
          </a:extLst>
        </xdr:cNvPr>
        <xdr:cNvSpPr/>
      </xdr:nvSpPr>
      <xdr:spPr>
        <a:xfrm>
          <a:off x="952500" y="3152775"/>
          <a:ext cx="1390650" cy="5714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DESCRIPCION DE FALLA</a:t>
          </a:r>
          <a:r>
            <a:rPr lang="es-419" b="1">
              <a:solidFill>
                <a:sysClr val="windowText" lastClr="000000"/>
              </a:solidFill>
              <a:effectLst/>
            </a:rPr>
            <a:t> </a:t>
          </a:r>
          <a:endParaRPr lang="es-419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952500</xdr:colOff>
      <xdr:row>9</xdr:row>
      <xdr:rowOff>123825</xdr:rowOff>
    </xdr:from>
    <xdr:to>
      <xdr:col>0</xdr:col>
      <xdr:colOff>2343150</xdr:colOff>
      <xdr:row>9</xdr:row>
      <xdr:rowOff>695324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A8916C5-3649-42DE-A428-712B86EB0B2A}"/>
            </a:ext>
          </a:extLst>
        </xdr:cNvPr>
        <xdr:cNvSpPr/>
      </xdr:nvSpPr>
      <xdr:spPr>
        <a:xfrm>
          <a:off x="952500" y="3933825"/>
          <a:ext cx="1390650" cy="5714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FECHA DE ENTREGA</a:t>
          </a:r>
          <a:r>
            <a:rPr lang="es-419" b="1">
              <a:solidFill>
                <a:sysClr val="windowText" lastClr="000000"/>
              </a:solidFill>
              <a:effectLst/>
            </a:rPr>
            <a:t> </a:t>
          </a:r>
          <a:endParaRPr lang="es-419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923925</xdr:colOff>
      <xdr:row>10</xdr:row>
      <xdr:rowOff>123825</xdr:rowOff>
    </xdr:from>
    <xdr:to>
      <xdr:col>0</xdr:col>
      <xdr:colOff>2314575</xdr:colOff>
      <xdr:row>10</xdr:row>
      <xdr:rowOff>695324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43E28BA-4E73-4DCC-89D1-9C0FFDACDECF}"/>
            </a:ext>
          </a:extLst>
        </xdr:cNvPr>
        <xdr:cNvSpPr/>
      </xdr:nvSpPr>
      <xdr:spPr>
        <a:xfrm>
          <a:off x="923925" y="4743450"/>
          <a:ext cx="1390650" cy="5714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CUANTO DEJO DE ANTICIPO</a:t>
          </a:r>
          <a:r>
            <a:rPr lang="es-419" b="1">
              <a:solidFill>
                <a:sysClr val="windowText" lastClr="000000"/>
              </a:solidFill>
              <a:effectLst/>
            </a:rPr>
            <a:t> </a:t>
          </a:r>
          <a:endParaRPr lang="es-419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1647826</xdr:colOff>
      <xdr:row>6</xdr:row>
      <xdr:rowOff>285750</xdr:rowOff>
    </xdr:from>
    <xdr:to>
      <xdr:col>3</xdr:col>
      <xdr:colOff>790576</xdr:colOff>
      <xdr:row>8</xdr:row>
      <xdr:rowOff>381000</xdr:rowOff>
    </xdr:to>
    <xdr:sp macro="[0]!REP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104BD801-94B5-E65F-A648-3EC763538297}"/>
            </a:ext>
          </a:extLst>
        </xdr:cNvPr>
        <xdr:cNvSpPr/>
      </xdr:nvSpPr>
      <xdr:spPr>
        <a:xfrm>
          <a:off x="7009040" y="2680607"/>
          <a:ext cx="1768929" cy="1728107"/>
        </a:xfrm>
        <a:prstGeom prst="flowChartConnector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800"/>
            <a:t>CLICK PARA GUARDAR </a:t>
          </a:r>
        </a:p>
      </xdr:txBody>
    </xdr:sp>
    <xdr:clientData/>
  </xdr:twoCellAnchor>
  <xdr:twoCellAnchor>
    <xdr:from>
      <xdr:col>1</xdr:col>
      <xdr:colOff>1055914</xdr:colOff>
      <xdr:row>1</xdr:row>
      <xdr:rowOff>4082</xdr:rowOff>
    </xdr:from>
    <xdr:to>
      <xdr:col>3</xdr:col>
      <xdr:colOff>1702594</xdr:colOff>
      <xdr:row>3</xdr:row>
      <xdr:rowOff>166687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5B1FB081-2A7B-A94F-2BF9-2D90CCC415F3}"/>
            </a:ext>
          </a:extLst>
        </xdr:cNvPr>
        <xdr:cNvSpPr/>
      </xdr:nvSpPr>
      <xdr:spPr>
        <a:xfrm>
          <a:off x="3794352" y="194582"/>
          <a:ext cx="5909242" cy="543605"/>
        </a:xfrm>
        <a:prstGeom prst="roundRect">
          <a:avLst/>
        </a:prstGeom>
        <a:gradFill>
          <a:gsLst>
            <a:gs pos="3000">
              <a:schemeClr val="accent6">
                <a:lumMod val="75000"/>
              </a:schemeClr>
            </a:gs>
            <a:gs pos="44000">
              <a:schemeClr val="accent6">
                <a:lumMod val="60000"/>
                <a:lumOff val="40000"/>
              </a:schemeClr>
            </a:gs>
            <a:gs pos="85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CONTROL</a:t>
          </a:r>
          <a:r>
            <a:rPr lang="es-419" sz="2400" baseline="0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DE REPARACION </a:t>
          </a:r>
          <a:endParaRPr lang="es-419" sz="2400">
            <a:solidFill>
              <a:schemeClr val="tx1"/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0</xdr:col>
      <xdr:colOff>942975</xdr:colOff>
      <xdr:row>11</xdr:row>
      <xdr:rowOff>142875</xdr:rowOff>
    </xdr:from>
    <xdr:to>
      <xdr:col>0</xdr:col>
      <xdr:colOff>2333625</xdr:colOff>
      <xdr:row>11</xdr:row>
      <xdr:rowOff>714374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AA86B6C1-0DEF-4DEE-A8E4-F1FBA1952343}"/>
            </a:ext>
          </a:extLst>
        </xdr:cNvPr>
        <xdr:cNvSpPr/>
      </xdr:nvSpPr>
      <xdr:spPr>
        <a:xfrm>
          <a:off x="942975" y="6572250"/>
          <a:ext cx="1390650" cy="571499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CODIGO</a:t>
          </a:r>
          <a:r>
            <a:rPr lang="es-419" sz="1100" b="1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QR</a:t>
          </a:r>
          <a:endParaRPr lang="es-419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1928812</xdr:colOff>
      <xdr:row>5</xdr:row>
      <xdr:rowOff>95251</xdr:rowOff>
    </xdr:from>
    <xdr:to>
      <xdr:col>4</xdr:col>
      <xdr:colOff>250031</xdr:colOff>
      <xdr:row>5</xdr:row>
      <xdr:rowOff>762001</xdr:rowOff>
    </xdr:to>
    <xdr:sp macro="" textlink="">
      <xdr:nvSpPr>
        <xdr:cNvPr id="8" name="Flecha: pentágon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66F0D1-B0CF-FA21-0FD0-EF51BDB1F248}"/>
            </a:ext>
          </a:extLst>
        </xdr:cNvPr>
        <xdr:cNvSpPr/>
      </xdr:nvSpPr>
      <xdr:spPr>
        <a:xfrm>
          <a:off x="9929812" y="1047751"/>
          <a:ext cx="1333500" cy="666750"/>
        </a:xfrm>
        <a:prstGeom prst="homePlat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 b="1"/>
            <a:t>MENU</a:t>
          </a:r>
        </a:p>
      </xdr:txBody>
    </xdr:sp>
    <xdr:clientData/>
  </xdr:twoCellAnchor>
  <xdr:twoCellAnchor>
    <xdr:from>
      <xdr:col>3</xdr:col>
      <xdr:colOff>2476500</xdr:colOff>
      <xdr:row>6</xdr:row>
      <xdr:rowOff>321468</xdr:rowOff>
    </xdr:from>
    <xdr:to>
      <xdr:col>4</xdr:col>
      <xdr:colOff>1131094</xdr:colOff>
      <xdr:row>7</xdr:row>
      <xdr:rowOff>488156</xdr:rowOff>
    </xdr:to>
    <xdr:sp macro="" textlink="">
      <xdr:nvSpPr>
        <xdr:cNvPr id="9" name="Diagrama de flujo: cinta perfora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F82D406-3CB4-F7E1-EF8E-4BAA32680FE3}"/>
            </a:ext>
          </a:extLst>
        </xdr:cNvPr>
        <xdr:cNvSpPr/>
      </xdr:nvSpPr>
      <xdr:spPr>
        <a:xfrm>
          <a:off x="10477500" y="2083593"/>
          <a:ext cx="1666875" cy="976313"/>
        </a:xfrm>
        <a:prstGeom prst="flowChartPunchedTape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400"/>
            <a:t>BD CONTOL DE REPARACION</a:t>
          </a:r>
        </a:p>
      </xdr:txBody>
    </xdr:sp>
    <xdr:clientData/>
  </xdr:twoCellAnchor>
  <xdr:twoCellAnchor editAs="oneCell">
    <xdr:from>
      <xdr:col>4</xdr:col>
      <xdr:colOff>583407</xdr:colOff>
      <xdr:row>0</xdr:row>
      <xdr:rowOff>130969</xdr:rowOff>
    </xdr:from>
    <xdr:to>
      <xdr:col>5</xdr:col>
      <xdr:colOff>215725</xdr:colOff>
      <xdr:row>5</xdr:row>
      <xdr:rowOff>359149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C153C13A-1CB1-48CC-963D-10ED8DCAD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6688" y="130969"/>
          <a:ext cx="1180131" cy="118068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0</xdr:row>
      <xdr:rowOff>123825</xdr:rowOff>
    </xdr:from>
    <xdr:to>
      <xdr:col>8</xdr:col>
      <xdr:colOff>581025</xdr:colOff>
      <xdr:row>0</xdr:row>
      <xdr:rowOff>476250</xdr:rowOff>
    </xdr:to>
    <xdr:sp macro="" textlink="">
      <xdr:nvSpPr>
        <xdr:cNvPr id="2" name="Flecha: pentá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0CB054-92EB-44D7-99B6-50A8DBBE81FE}"/>
            </a:ext>
          </a:extLst>
        </xdr:cNvPr>
        <xdr:cNvSpPr/>
      </xdr:nvSpPr>
      <xdr:spPr>
        <a:xfrm>
          <a:off x="15725775" y="123825"/>
          <a:ext cx="1066800" cy="352425"/>
        </a:xfrm>
        <a:prstGeom prst="homePlat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 b="1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171450</xdr:rowOff>
    </xdr:from>
    <xdr:to>
      <xdr:col>8</xdr:col>
      <xdr:colOff>323850</xdr:colOff>
      <xdr:row>3</xdr:row>
      <xdr:rowOff>86405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54A3C95-9CB9-4547-B391-29E37D28D76D}"/>
            </a:ext>
          </a:extLst>
        </xdr:cNvPr>
        <xdr:cNvSpPr/>
      </xdr:nvSpPr>
      <xdr:spPr>
        <a:xfrm>
          <a:off x="1828800" y="171450"/>
          <a:ext cx="10658475" cy="486455"/>
        </a:xfrm>
        <a:prstGeom prst="roundRect">
          <a:avLst/>
        </a:prstGeom>
        <a:gradFill>
          <a:gsLst>
            <a:gs pos="34857">
              <a:schemeClr val="tx2">
                <a:lumMod val="10000"/>
                <a:lumOff val="90000"/>
              </a:schemeClr>
            </a:gs>
            <a:gs pos="3000">
              <a:srgbClr val="00B0F0"/>
            </a:gs>
            <a:gs pos="58000">
              <a:schemeClr val="accent1">
                <a:lumMod val="20000"/>
                <a:lumOff val="80000"/>
              </a:schemeClr>
            </a:gs>
            <a:gs pos="80000">
              <a:schemeClr val="tx2">
                <a:lumMod val="50000"/>
                <a:lumOff val="50000"/>
              </a:schemeClr>
            </a:gs>
            <a:gs pos="100000">
              <a:schemeClr val="accent4">
                <a:lumMod val="40000"/>
                <a:lumOff val="6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COSTO DE PIEZAS</a:t>
          </a:r>
        </a:p>
      </xdr:txBody>
    </xdr:sp>
    <xdr:clientData/>
  </xdr:twoCellAnchor>
  <xdr:twoCellAnchor>
    <xdr:from>
      <xdr:col>0</xdr:col>
      <xdr:colOff>371475</xdr:colOff>
      <xdr:row>1</xdr:row>
      <xdr:rowOff>66675</xdr:rowOff>
    </xdr:from>
    <xdr:to>
      <xdr:col>0</xdr:col>
      <xdr:colOff>1428750</xdr:colOff>
      <xdr:row>3</xdr:row>
      <xdr:rowOff>38100</xdr:rowOff>
    </xdr:to>
    <xdr:sp macro="" textlink="">
      <xdr:nvSpPr>
        <xdr:cNvPr id="3" name="Flecha: pentágon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11BBB1-F96A-44D0-8427-497C27B5C948}"/>
            </a:ext>
          </a:extLst>
        </xdr:cNvPr>
        <xdr:cNvSpPr/>
      </xdr:nvSpPr>
      <xdr:spPr>
        <a:xfrm>
          <a:off x="371475" y="257175"/>
          <a:ext cx="1057275" cy="352425"/>
        </a:xfrm>
        <a:prstGeom prst="homePlat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 b="1"/>
            <a:t>MENU</a:t>
          </a:r>
        </a:p>
      </xdr:txBody>
    </xdr:sp>
    <xdr:clientData/>
  </xdr:twoCellAnchor>
  <xdr:twoCellAnchor>
    <xdr:from>
      <xdr:col>6</xdr:col>
      <xdr:colOff>685799</xdr:colOff>
      <xdr:row>9</xdr:row>
      <xdr:rowOff>66675</xdr:rowOff>
    </xdr:from>
    <xdr:to>
      <xdr:col>7</xdr:col>
      <xdr:colOff>1190624</xdr:colOff>
      <xdr:row>11</xdr:row>
      <xdr:rowOff>171450</xdr:rowOff>
    </xdr:to>
    <xdr:sp macro="" textlink="">
      <xdr:nvSpPr>
        <xdr:cNvPr id="4" name="Flecha: pentágon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E4195A-7B73-49B7-8973-982EFFF09C83}"/>
            </a:ext>
          </a:extLst>
        </xdr:cNvPr>
        <xdr:cNvSpPr/>
      </xdr:nvSpPr>
      <xdr:spPr>
        <a:xfrm>
          <a:off x="9039224" y="1781175"/>
          <a:ext cx="1457325" cy="485775"/>
        </a:xfrm>
        <a:prstGeom prst="homePlate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 b="1"/>
            <a:t>PRESUPUESTO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1</xdr:row>
      <xdr:rowOff>361951</xdr:rowOff>
    </xdr:from>
    <xdr:to>
      <xdr:col>7</xdr:col>
      <xdr:colOff>66675</xdr:colOff>
      <xdr:row>3</xdr:row>
      <xdr:rowOff>1</xdr:rowOff>
    </xdr:to>
    <xdr:sp macro="" textlink="">
      <xdr:nvSpPr>
        <xdr:cNvPr id="2" name="Flecha: pentá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ACE88B-E882-4BD9-9234-C7E089C46B7C}"/>
            </a:ext>
          </a:extLst>
        </xdr:cNvPr>
        <xdr:cNvSpPr/>
      </xdr:nvSpPr>
      <xdr:spPr>
        <a:xfrm>
          <a:off x="7277100" y="552451"/>
          <a:ext cx="1181100" cy="457200"/>
        </a:xfrm>
        <a:prstGeom prst="homePlat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 b="1"/>
            <a:t>MENU</a:t>
          </a:r>
        </a:p>
      </xdr:txBody>
    </xdr:sp>
    <xdr:clientData/>
  </xdr:twoCellAnchor>
  <xdr:twoCellAnchor editAs="oneCell">
    <xdr:from>
      <xdr:col>5</xdr:col>
      <xdr:colOff>423334</xdr:colOff>
      <xdr:row>4</xdr:row>
      <xdr:rowOff>47148</xdr:rowOff>
    </xdr:from>
    <xdr:to>
      <xdr:col>10</xdr:col>
      <xdr:colOff>209550</xdr:colOff>
      <xdr:row>10</xdr:row>
      <xdr:rowOff>474343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525F118-ABA3-2CE7-CE5A-C1E37E16F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290859" y="1056798"/>
          <a:ext cx="3596216" cy="2427445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10</xdr:col>
      <xdr:colOff>400050</xdr:colOff>
      <xdr:row>8</xdr:row>
      <xdr:rowOff>314325</xdr:rowOff>
    </xdr:from>
    <xdr:to>
      <xdr:col>11</xdr:col>
      <xdr:colOff>647700</xdr:colOff>
      <xdr:row>10</xdr:row>
      <xdr:rowOff>361950</xdr:rowOff>
    </xdr:to>
    <xdr:sp macro="" textlink="">
      <xdr:nvSpPr>
        <xdr:cNvPr id="5" name="Flecha: hacia la izquierda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FCC07C-B361-03B9-2DBE-F77EB2093883}"/>
            </a:ext>
          </a:extLst>
        </xdr:cNvPr>
        <xdr:cNvSpPr/>
      </xdr:nvSpPr>
      <xdr:spPr>
        <a:xfrm>
          <a:off x="11077575" y="2990850"/>
          <a:ext cx="1009650" cy="714375"/>
        </a:xfrm>
        <a:prstGeom prst="leftArrow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400" b="1"/>
            <a:t>COSTOS</a:t>
          </a:r>
        </a:p>
      </xdr:txBody>
    </xdr:sp>
    <xdr:clientData/>
  </xdr:twoCellAnchor>
  <xdr:twoCellAnchor>
    <xdr:from>
      <xdr:col>1</xdr:col>
      <xdr:colOff>95249</xdr:colOff>
      <xdr:row>0</xdr:row>
      <xdr:rowOff>114300</xdr:rowOff>
    </xdr:from>
    <xdr:to>
      <xdr:col>7</xdr:col>
      <xdr:colOff>514349</xdr:colOff>
      <xdr:row>1</xdr:row>
      <xdr:rowOff>238125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E1C1895-A489-4655-A265-C26D08B5E198}"/>
            </a:ext>
          </a:extLst>
        </xdr:cNvPr>
        <xdr:cNvSpPr/>
      </xdr:nvSpPr>
      <xdr:spPr>
        <a:xfrm>
          <a:off x="857249" y="114300"/>
          <a:ext cx="8048625" cy="314325"/>
        </a:xfrm>
        <a:prstGeom prst="roundRect">
          <a:avLst/>
        </a:prstGeom>
        <a:gradFill>
          <a:gsLst>
            <a:gs pos="34857">
              <a:schemeClr val="tx2">
                <a:lumMod val="10000"/>
                <a:lumOff val="90000"/>
              </a:schemeClr>
            </a:gs>
            <a:gs pos="3000">
              <a:srgbClr val="00B0F0"/>
            </a:gs>
            <a:gs pos="58000">
              <a:schemeClr val="accent1">
                <a:lumMod val="20000"/>
                <a:lumOff val="80000"/>
              </a:schemeClr>
            </a:gs>
            <a:gs pos="80000">
              <a:schemeClr val="tx2">
                <a:lumMod val="50000"/>
                <a:lumOff val="50000"/>
              </a:schemeClr>
            </a:gs>
            <a:gs pos="100000">
              <a:schemeClr val="accent4">
                <a:lumMod val="40000"/>
                <a:lumOff val="6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PRESUPUESTO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123825</xdr:rowOff>
    </xdr:from>
    <xdr:to>
      <xdr:col>6</xdr:col>
      <xdr:colOff>1476375</xdr:colOff>
      <xdr:row>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0B1A9D9-BAD0-497B-8239-0C4B3A39E621}"/>
            </a:ext>
          </a:extLst>
        </xdr:cNvPr>
        <xdr:cNvSpPr/>
      </xdr:nvSpPr>
      <xdr:spPr>
        <a:xfrm>
          <a:off x="2847975" y="123825"/>
          <a:ext cx="8372475" cy="447675"/>
        </a:xfrm>
        <a:prstGeom prst="roundRect">
          <a:avLst/>
        </a:prstGeom>
        <a:gradFill>
          <a:gsLst>
            <a:gs pos="34857">
              <a:schemeClr val="tx2">
                <a:lumMod val="10000"/>
                <a:lumOff val="90000"/>
              </a:schemeClr>
            </a:gs>
            <a:gs pos="3000">
              <a:srgbClr val="00B0F0"/>
            </a:gs>
            <a:gs pos="58000">
              <a:schemeClr val="accent1">
                <a:lumMod val="20000"/>
                <a:lumOff val="80000"/>
              </a:schemeClr>
            </a:gs>
            <a:gs pos="80000">
              <a:schemeClr val="tx2">
                <a:lumMod val="50000"/>
                <a:lumOff val="50000"/>
              </a:schemeClr>
            </a:gs>
            <a:gs pos="100000">
              <a:schemeClr val="accent4">
                <a:lumMod val="40000"/>
                <a:lumOff val="6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CONTROL DE ENTREGAS</a:t>
          </a:r>
          <a:r>
            <a:rPr lang="es-419" sz="2400" baseline="0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DE SERVICIOS &amp; BIENES</a:t>
          </a:r>
          <a:endParaRPr lang="es-419" sz="2400">
            <a:solidFill>
              <a:schemeClr val="tx1"/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0</xdr:col>
      <xdr:colOff>1000125</xdr:colOff>
      <xdr:row>0</xdr:row>
      <xdr:rowOff>123825</xdr:rowOff>
    </xdr:from>
    <xdr:to>
      <xdr:col>1</xdr:col>
      <xdr:colOff>1133475</xdr:colOff>
      <xdr:row>3</xdr:row>
      <xdr:rowOff>9525</xdr:rowOff>
    </xdr:to>
    <xdr:sp macro="" textlink="">
      <xdr:nvSpPr>
        <xdr:cNvPr id="3" name="Flecha: pentágon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9F1D04-AD77-4D3C-BBD9-130EC866F1D7}"/>
            </a:ext>
          </a:extLst>
        </xdr:cNvPr>
        <xdr:cNvSpPr/>
      </xdr:nvSpPr>
      <xdr:spPr>
        <a:xfrm>
          <a:off x="1000125" y="123825"/>
          <a:ext cx="1181100" cy="457200"/>
        </a:xfrm>
        <a:prstGeom prst="homePlat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 b="1"/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371473</xdr:colOff>
      <xdr:row>4</xdr:row>
      <xdr:rowOff>114299</xdr:rowOff>
    </xdr:from>
    <xdr:to>
      <xdr:col>15</xdr:col>
      <xdr:colOff>161924</xdr:colOff>
      <xdr:row>21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21E427-D905-9910-00B9-C1DA08CBC8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13</xdr:col>
      <xdr:colOff>19050</xdr:colOff>
      <xdr:row>3</xdr:row>
      <xdr:rowOff>66675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B0F99C1-6412-4452-AEE9-5AA478C25528}"/>
            </a:ext>
          </a:extLst>
        </xdr:cNvPr>
        <xdr:cNvSpPr/>
      </xdr:nvSpPr>
      <xdr:spPr>
        <a:xfrm>
          <a:off x="3848100" y="190500"/>
          <a:ext cx="8372475" cy="447675"/>
        </a:xfrm>
        <a:prstGeom prst="roundRect">
          <a:avLst/>
        </a:prstGeom>
        <a:gradFill>
          <a:gsLst>
            <a:gs pos="34857">
              <a:schemeClr val="tx2">
                <a:lumMod val="10000"/>
                <a:lumOff val="90000"/>
              </a:schemeClr>
            </a:gs>
            <a:gs pos="3000">
              <a:srgbClr val="00B0F0"/>
            </a:gs>
            <a:gs pos="58000">
              <a:schemeClr val="accent1">
                <a:lumMod val="20000"/>
                <a:lumOff val="80000"/>
              </a:schemeClr>
            </a:gs>
            <a:gs pos="80000">
              <a:schemeClr val="tx2">
                <a:lumMod val="50000"/>
                <a:lumOff val="50000"/>
              </a:schemeClr>
            </a:gs>
            <a:gs pos="100000">
              <a:schemeClr val="accent4">
                <a:lumMod val="40000"/>
                <a:lumOff val="60000"/>
              </a:schemeClr>
            </a:gs>
          </a:gsLst>
          <a:lin ang="5400000" scaled="1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REPORTE</a:t>
          </a:r>
          <a:r>
            <a:rPr lang="es-419" sz="2400" baseline="0">
              <a:solidFill>
                <a:schemeClr val="tx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 MENSUAL</a:t>
          </a:r>
          <a:endParaRPr lang="es-419" sz="2400">
            <a:solidFill>
              <a:schemeClr val="tx1"/>
            </a:solidFill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76200</xdr:rowOff>
    </xdr:from>
    <xdr:to>
      <xdr:col>2</xdr:col>
      <xdr:colOff>685800</xdr:colOff>
      <xdr:row>4</xdr:row>
      <xdr:rowOff>152400</xdr:rowOff>
    </xdr:to>
    <xdr:sp macro="" textlink="">
      <xdr:nvSpPr>
        <xdr:cNvPr id="5" name="Flecha: pentágon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477AFF-8660-4F91-A76A-3A10BC20C533}"/>
            </a:ext>
          </a:extLst>
        </xdr:cNvPr>
        <xdr:cNvSpPr/>
      </xdr:nvSpPr>
      <xdr:spPr>
        <a:xfrm>
          <a:off x="1028700" y="457200"/>
          <a:ext cx="1181100" cy="457200"/>
        </a:xfrm>
        <a:prstGeom prst="homePlate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 b="1"/>
            <a:t>MENU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-360" refreshedDate="45929.074465046295" createdVersion="8" refreshedVersion="8" minRefreshableVersion="3" recordCount="16" xr:uid="{F87B910B-FE9A-4E1A-AD63-162DA4DC20B7}">
  <cacheSource type="worksheet">
    <worksheetSource name="Tabla10"/>
  </cacheSource>
  <cacheFields count="10">
    <cacheField name="ID SERVICIO" numFmtId="0">
      <sharedItems containsString="0" containsBlank="1" containsNumber="1" containsInteger="1" minValue="1" maxValue="4422"/>
    </cacheField>
    <cacheField name="BIEN O PRODUCTO" numFmtId="0">
      <sharedItems count="11">
        <s v="APAGADO"/>
        <s v="ENCHUFE"/>
        <s v="SISTEMA DE AIRE"/>
        <s v="CALEFACCION"/>
        <s v="TIEMPO"/>
        <s v="EMBOBINADO"/>
        <s v="AIRE CONDICIONADO"/>
        <s v="REVOLUCIONES"/>
        <s v="TARJETA"/>
        <e v="#N/A"/>
        <s v="MOTOR" u="1"/>
      </sharedItems>
    </cacheField>
    <cacheField name="FECHA DE INGRESO" numFmtId="14">
      <sharedItems containsDate="1" containsMixedTypes="1" minDate="2003-02-02T00:00:00" maxDate="2025-09-29T00:00:00"/>
    </cacheField>
    <cacheField name="FECHA DE EGRESO" numFmtId="14">
      <sharedItems containsDate="1" containsMixedTypes="1" minDate="2003-04-04T00:00:00" maxDate="2025-12-13T00:00:00"/>
    </cacheField>
    <cacheField name="DIAS POR CERRAR ENTREGA" numFmtId="0">
      <sharedItems containsMixedTypes="1" containsNumber="1" containsInteger="1" minValue="-8197" maxValue="7255"/>
    </cacheField>
    <cacheField name="ADELANTO POR SERVICIO " numFmtId="164">
      <sharedItems containsMixedTypes="1" containsNumber="1" containsInteger="1" minValue="23" maxValue="2323"/>
    </cacheField>
    <cacheField name="COSTO DE PIEZAS/SERVICIO" numFmtId="164">
      <sharedItems containsMixedTypes="1" containsNumber="1" minValue="85.12" maxValue="7590.24"/>
    </cacheField>
    <cacheField name="TOTAL A PAGAR" numFmtId="164">
      <sharedItems containsMixedTypes="1" containsNumber="1" minValue="108.12" maxValue="8089.24"/>
    </cacheField>
    <cacheField name="POR PAGAR" numFmtId="164">
      <sharedItems containsMixedTypes="1" containsNumber="1" minValue="0" maxValue="7590.24"/>
    </cacheField>
    <cacheField name="ENTREGADO" numFmtId="0">
      <sharedItems containsBlank="1" count="3">
        <s v="SI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6"/>
    <x v="0"/>
    <d v="2022-12-12T00:00:00"/>
    <d v="2025-12-12T00:00:00"/>
    <n v="1096"/>
    <n v="23"/>
    <n v="85.12"/>
    <n v="108.12"/>
    <n v="85.12"/>
    <x v="0"/>
  </r>
  <r>
    <n v="5"/>
    <x v="1"/>
    <d v="2003-02-02T00:00:00"/>
    <d v="2022-12-14T00:00:00"/>
    <n v="7255"/>
    <n v="599"/>
    <s v=" "/>
    <n v="599"/>
    <n v="0"/>
    <x v="1"/>
  </r>
  <r>
    <n v="4422"/>
    <x v="2"/>
    <d v="2025-09-28T00:00:00"/>
    <d v="2025-10-10T00:00:00"/>
    <n v="12"/>
    <n v="443"/>
    <n v="224"/>
    <n v="667"/>
    <n v="224"/>
    <x v="0"/>
  </r>
  <r>
    <n v="444"/>
    <x v="3"/>
    <d v="2022-12-12T00:00:00"/>
    <d v="2022-12-14T00:00:00"/>
    <n v="2"/>
    <n v="899"/>
    <n v="1006.88"/>
    <n v="1905.88"/>
    <n v="1006.8800000000001"/>
    <x v="1"/>
  </r>
  <r>
    <n v="8"/>
    <x v="4"/>
    <d v="2003-02-02T00:00:00"/>
    <d v="2022-12-14T00:00:00"/>
    <n v="7255"/>
    <n v="343"/>
    <n v="110.88"/>
    <n v="453.88"/>
    <n v="110.88"/>
    <x v="1"/>
  </r>
  <r>
    <n v="10"/>
    <x v="5"/>
    <d v="2025-09-12T00:00:00"/>
    <d v="2025-10-10T00:00:00"/>
    <n v="28"/>
    <n v="899"/>
    <s v=" "/>
    <n v="899"/>
    <n v="0"/>
    <x v="1"/>
  </r>
  <r>
    <n v="1"/>
    <x v="6"/>
    <d v="2003-02-02T00:00:00"/>
    <d v="2003-04-04T00:00:00"/>
    <n v="61"/>
    <n v="23"/>
    <n v="1419.04"/>
    <n v="1442.04"/>
    <n v="1419.04"/>
    <x v="1"/>
  </r>
  <r>
    <n v="4"/>
    <x v="7"/>
    <d v="2025-09-22T00:00:00"/>
    <d v="2023-04-04T00:00:00"/>
    <n v="-902"/>
    <n v="499"/>
    <n v="7590.24"/>
    <n v="8089.24"/>
    <n v="7590.24"/>
    <x v="1"/>
  </r>
  <r>
    <n v="7"/>
    <x v="8"/>
    <d v="2025-09-12T00:00:00"/>
    <d v="2003-04-04T00:00:00"/>
    <n v="-8197"/>
    <n v="2323"/>
    <n v="150.07999999999998"/>
    <n v="2473.08"/>
    <n v="150.07999999999993"/>
    <x v="0"/>
  </r>
  <r>
    <m/>
    <x v="9"/>
    <e v="#N/A"/>
    <e v="#N/A"/>
    <e v="#N/A"/>
    <e v="#N/A"/>
    <s v=" "/>
    <e v="#N/A"/>
    <e v="#N/A"/>
    <x v="2"/>
  </r>
  <r>
    <m/>
    <x v="9"/>
    <e v="#N/A"/>
    <e v="#N/A"/>
    <e v="#N/A"/>
    <e v="#N/A"/>
    <s v=" "/>
    <e v="#N/A"/>
    <e v="#N/A"/>
    <x v="2"/>
  </r>
  <r>
    <m/>
    <x v="9"/>
    <e v="#N/A"/>
    <e v="#N/A"/>
    <e v="#N/A"/>
    <e v="#N/A"/>
    <s v=" "/>
    <e v="#N/A"/>
    <e v="#N/A"/>
    <x v="2"/>
  </r>
  <r>
    <m/>
    <x v="9"/>
    <e v="#N/A"/>
    <e v="#N/A"/>
    <e v="#N/A"/>
    <e v="#N/A"/>
    <s v=" "/>
    <e v="#N/A"/>
    <e v="#N/A"/>
    <x v="2"/>
  </r>
  <r>
    <m/>
    <x v="9"/>
    <e v="#N/A"/>
    <e v="#N/A"/>
    <e v="#N/A"/>
    <e v="#N/A"/>
    <s v=" "/>
    <e v="#N/A"/>
    <e v="#N/A"/>
    <x v="2"/>
  </r>
  <r>
    <m/>
    <x v="9"/>
    <e v="#N/A"/>
    <e v="#N/A"/>
    <e v="#N/A"/>
    <e v="#N/A"/>
    <s v=" "/>
    <e v="#N/A"/>
    <e v="#N/A"/>
    <x v="2"/>
  </r>
  <r>
    <m/>
    <x v="9"/>
    <e v="#N/A"/>
    <e v="#N/A"/>
    <e v="#N/A"/>
    <e v="#N/A"/>
    <s v=" "/>
    <e v="#N/A"/>
    <e v="#N/A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C87E9C-D767-4DA5-A70E-BBA7E9FFC811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D7:E21" firstHeaderRow="1" firstDataRow="1" firstDataCol="1"/>
  <pivotFields count="10">
    <pivotField dataField="1" showAll="0"/>
    <pivotField axis="axisRow" multipleItemSelectionAllowed="1" showAll="0">
      <items count="12">
        <item x="6"/>
        <item x="0"/>
        <item x="3"/>
        <item x="5"/>
        <item x="1"/>
        <item m="1" x="10"/>
        <item x="2"/>
        <item x="4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</pivotFields>
  <rowFields count="2">
    <field x="9"/>
    <field x="1"/>
  </rowFields>
  <rowItems count="14">
    <i>
      <x/>
    </i>
    <i r="1">
      <x/>
    </i>
    <i r="1">
      <x v="2"/>
    </i>
    <i r="1">
      <x v="3"/>
    </i>
    <i r="1">
      <x v="4"/>
    </i>
    <i r="1">
      <x v="7"/>
    </i>
    <i r="1">
      <x v="9"/>
    </i>
    <i>
      <x v="1"/>
    </i>
    <i r="1">
      <x v="1"/>
    </i>
    <i r="1">
      <x v="6"/>
    </i>
    <i r="1">
      <x v="10"/>
    </i>
    <i>
      <x v="2"/>
    </i>
    <i r="1">
      <x v="8"/>
    </i>
    <i t="grand">
      <x/>
    </i>
  </rowItems>
  <colItems count="1">
    <i/>
  </colItems>
  <dataFields count="1">
    <dataField name="Cuenta de ID SERVICIO" fld="0" subtotal="count" baseField="0" baseItem="0"/>
  </dataFields>
  <chartFormats count="1">
    <chartFormat chart="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api.qrserver.com/v1/create-qr-code/?size200x200&amp;data=345" TargetMode="Externa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hyperlink" Target="https://api.qrserver.com/v1/create-qr-code/?size200x200&amp;data=3" TargetMode="External"/><Relationship Id="rId21" Type="http://schemas.openxmlformats.org/officeDocument/2006/relationships/hyperlink" Target="https://api.qrserver.com/v1/create-qr-code/?size200x200&amp;data=555" TargetMode="Externa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hyperlink" Target="https://api.qrserver.com/v1/create-qr-code/?size200x200&amp;data=7" TargetMode="External"/><Relationship Id="rId50" Type="http://schemas.openxmlformats.org/officeDocument/2006/relationships/image" Target="../media/image25.png"/><Relationship Id="rId55" Type="http://schemas.openxmlformats.org/officeDocument/2006/relationships/hyperlink" Target="https://api.qrserver.com/v1/create-qr-code/?size200x200&amp;data=11" TargetMode="External"/><Relationship Id="rId7" Type="http://schemas.openxmlformats.org/officeDocument/2006/relationships/hyperlink" Target="https://api.qrserver.com/v1/create-qr-code/?size200x200&amp;data=89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api.qrserver.com/v1/create-qr-code/?size200x200&amp;data=4422" TargetMode="External"/><Relationship Id="rId11" Type="http://schemas.openxmlformats.org/officeDocument/2006/relationships/hyperlink" Target="https://api.qrserver.com/v1/create-qr-code/?size200x200&amp;data=432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hyperlink" Target="https://api.qrserver.com/v1/create-qr-code/?size200x200&amp;data=2" TargetMode="External"/><Relationship Id="rId40" Type="http://schemas.openxmlformats.org/officeDocument/2006/relationships/image" Target="../media/image20.png"/><Relationship Id="rId45" Type="http://schemas.openxmlformats.org/officeDocument/2006/relationships/hyperlink" Target="https://api.qrserver.com/v1/create-qr-code/?size200x200&amp;data=6" TargetMode="External"/><Relationship Id="rId53" Type="http://schemas.openxmlformats.org/officeDocument/2006/relationships/hyperlink" Target="https://api.qrserver.com/v1/create-qr-code/?size200x200&amp;data=10" TargetMode="External"/><Relationship Id="rId5" Type="http://schemas.openxmlformats.org/officeDocument/2006/relationships/hyperlink" Target="https://api.qrserver.com/v1/create-qr-code/?size200x200&amp;data=988" TargetMode="External"/><Relationship Id="rId10" Type="http://schemas.openxmlformats.org/officeDocument/2006/relationships/image" Target="../media/image5.png"/><Relationship Id="rId19" Type="http://schemas.openxmlformats.org/officeDocument/2006/relationships/hyperlink" Target="https://api.qrserver.com/v1/create-qr-code/?size200x200&amp;data=8976" TargetMode="External"/><Relationship Id="rId31" Type="http://schemas.openxmlformats.org/officeDocument/2006/relationships/hyperlink" Target="https://api.qrserver.com/v1/create-qr-code/?size200x200&amp;data=12222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size200x200&amp;data=44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api.qrserver.com/v1/create-qr-code/?size200x200&amp;data=1" TargetMode="External"/><Relationship Id="rId30" Type="http://schemas.openxmlformats.org/officeDocument/2006/relationships/image" Target="../media/image15.png"/><Relationship Id="rId35" Type="http://schemas.openxmlformats.org/officeDocument/2006/relationships/hyperlink" Target="https://api.qrserver.com/v1/create-qr-code/?size200x200&amp;data=122" TargetMode="External"/><Relationship Id="rId43" Type="http://schemas.openxmlformats.org/officeDocument/2006/relationships/hyperlink" Target="https://api.qrserver.com/v1/create-qr-code/?size200x200&amp;data=5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8" Type="http://schemas.openxmlformats.org/officeDocument/2006/relationships/image" Target="../media/image4.png"/><Relationship Id="rId51" Type="http://schemas.openxmlformats.org/officeDocument/2006/relationships/hyperlink" Target="https://api.qrserver.com/v1/create-qr-code/?size200x200&amp;data=9" TargetMode="External"/><Relationship Id="rId3" Type="http://schemas.openxmlformats.org/officeDocument/2006/relationships/hyperlink" Target="https://api.qrserver.com/v1/create-qr-code/?size200x200&amp;data=45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pi.qrserver.com/v1/create-qr-code/?size200x200&amp;data=6577" TargetMode="External"/><Relationship Id="rId25" Type="http://schemas.openxmlformats.org/officeDocument/2006/relationships/hyperlink" Target="https://api.qrserver.com/v1/create-qr-code/?size200x200&amp;data=354" TargetMode="External"/><Relationship Id="rId33" Type="http://schemas.openxmlformats.org/officeDocument/2006/relationships/hyperlink" Target="https://api.qrserver.com/v1/create-qr-code/?size200x200&amp;data=444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20" Type="http://schemas.openxmlformats.org/officeDocument/2006/relationships/image" Target="../media/image10.png"/><Relationship Id="rId41" Type="http://schemas.openxmlformats.org/officeDocument/2006/relationships/hyperlink" Target="https://api.qrserver.com/v1/create-qr-code/?size200x200&amp;data=4" TargetMode="External"/><Relationship Id="rId54" Type="http://schemas.openxmlformats.org/officeDocument/2006/relationships/image" Target="../media/image27.png"/><Relationship Id="rId1" Type="http://schemas.openxmlformats.org/officeDocument/2006/relationships/hyperlink" Target="https://api.qrserver.com/v1/create-qr-code/?size200x200&amp;data=56" TargetMode="External"/><Relationship Id="rId6" Type="http://schemas.openxmlformats.org/officeDocument/2006/relationships/image" Target="../media/image3.png"/><Relationship Id="rId15" Type="http://schemas.openxmlformats.org/officeDocument/2006/relationships/hyperlink" Target="https://api.qrserver.com/v1/create-qr-code/?size200x200&amp;data=7876" TargetMode="External"/><Relationship Id="rId23" Type="http://schemas.openxmlformats.org/officeDocument/2006/relationships/hyperlink" Target="https://api.qrserver.com/v1/create-qr-code/?size200x200&amp;data=344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hyperlink" Target="https://api.qrserver.com/v1/create-qr-code/?size200x200&amp;data=8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</webImagesSrd>
</file>

<file path=xl/richData/rdrichvalue.xml><?xml version="1.0" encoding="utf-8"?>
<rvData xmlns="http://schemas.microsoft.com/office/spreadsheetml/2017/richdata" count="28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18</v>
    <v>1</v>
    <v>0</v>
    <v>0</v>
  </rv>
  <rv s="0">
    <v>19</v>
    <v>1</v>
    <v>0</v>
    <v>0</v>
  </rv>
  <rv s="0">
    <v>20</v>
    <v>1</v>
    <v>0</v>
    <v>0</v>
  </rv>
  <rv s="0">
    <v>21</v>
    <v>1</v>
    <v>0</v>
    <v>0</v>
  </rv>
  <rv s="0">
    <v>22</v>
    <v>1</v>
    <v>0</v>
    <v>0</v>
  </rv>
  <rv s="0">
    <v>23</v>
    <v>1</v>
    <v>0</v>
    <v>0</v>
  </rv>
  <rv s="0">
    <v>24</v>
    <v>1</v>
    <v>0</v>
    <v>0</v>
  </rv>
  <rv s="0">
    <v>25</v>
    <v>1</v>
    <v>0</v>
    <v>0</v>
  </rv>
  <rv s="0">
    <v>26</v>
    <v>1</v>
    <v>0</v>
    <v>0</v>
  </rv>
  <rv s="0">
    <v>27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777DA6-FC3F-451B-B336-FC49A9B1EB05}" name="Tabla2" displayName="Tabla2" ref="A1:E20" totalsRowShown="0">
  <autoFilter ref="A1:E20" xr:uid="{FE777DA6-FC3F-451B-B336-FC49A9B1EB05}"/>
  <tableColumns count="5">
    <tableColumn id="1" xr3:uid="{6ED52D75-EFCD-4DCB-A43B-EE2388EE4AD6}" name="PIEZA"/>
    <tableColumn id="2" xr3:uid="{B474193D-E018-4E0E-A1CF-70177832890A}" name="ID"/>
    <tableColumn id="3" xr3:uid="{08EDCDC6-679D-4B3C-9E85-F2C4A72C4E64}" name="CANTIDAD"/>
    <tableColumn id="4" xr3:uid="{8A4A03A9-AD84-4A06-8326-666C651D2D69}" name="DENTRO O FUERA DE TALLER"/>
    <tableColumn id="5" xr3:uid="{3AD1823C-FC14-4AB7-8A84-DAFD86193887}" name="CODIGO QR">
      <calculatedColumnFormula>IFERROR(_xlfn.IMAGE("https://api.qrserver.com/v1/create-qr-code/?size200x200&amp;data="&amp;B2)," 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4136FB-20DF-43C8-AEC7-871E8000F185}" name="Tabla1" displayName="Tabla1" ref="A1:G16" totalsRowShown="0" headerRowDxfId="32" dataDxfId="31">
  <tableColumns count="7">
    <tableColumn id="1" xr3:uid="{38485ECD-409D-416F-94B5-136AC5B5192C}" name="ID SERVICIO" dataDxfId="30"/>
    <tableColumn id="2" xr3:uid="{C358CE8E-5A14-4542-A2DC-CFAECF8142D4}" name="BIEN O PRODUCTO" dataDxfId="29"/>
    <tableColumn id="3" xr3:uid="{9DEE3CC9-71E1-4E8C-A1DE-3D7D552DD9BD}" name="FECHA DE INGRESO" dataDxfId="28"/>
    <tableColumn id="4" xr3:uid="{5152F20F-02AD-491A-91CE-BE96DD379E9C}" name="DESCRIPCION DE FALLA" dataDxfId="27"/>
    <tableColumn id="5" xr3:uid="{F25757D9-E79F-4DAD-8633-8330C60C238C}" name="FECHA DE ENTREGA" dataDxfId="26"/>
    <tableColumn id="6" xr3:uid="{3D35FE01-CBA4-402E-906A-B9B25F4E6A71}" name="CUANTO DEJO DE ANTICIPO" dataDxfId="25"/>
    <tableColumn id="7" xr3:uid="{BCEB43C2-D15C-4DC3-B441-FC4B9312414B}" name="CODIGO QR" dataDxfId="24">
      <calculatedColumnFormula>IFERROR(_xlfn.IMAGE("https://api.qrserver.com/v1/create-qr-code/?size200x200&amp;data="&amp;A2)," 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A969870-30F2-40E8-98E2-DEE1DDD8779A}" name="Tabla9" displayName="Tabla9" ref="A7:F23" totalsRowShown="0">
  <autoFilter ref="A7:F23" xr:uid="{3A969870-30F2-40E8-98E2-DEE1DDD8779A}"/>
  <tableColumns count="6">
    <tableColumn id="6" xr3:uid="{C2E8FDB4-F4A4-4B58-8460-7EB329DAFC68}" name="BIEN O PRODUCTO" dataDxfId="23">
      <calculatedColumnFormula>_xlfn.IFNA(VLOOKUP(Tabla9[[#This Row],[ID]],Tabla1[#All],2,0)," ")</calculatedColumnFormula>
    </tableColumn>
    <tableColumn id="1" xr3:uid="{CB79DBCE-D5B6-4259-B1AB-9FBAFECA5D43}" name="ID" dataDxfId="22"/>
    <tableColumn id="2" xr3:uid="{508837B4-1C8A-4486-80DC-1F470CDAD472}" name="PIEZA/SERVICIO" dataDxfId="21"/>
    <tableColumn id="3" xr3:uid="{910B8870-ADCF-4E24-A6D0-276B183FB239}" name="COSTO  PIEZA/SERVICIO" dataDxfId="20" dataCellStyle="Moneda"/>
    <tableColumn id="4" xr3:uid="{6F46A113-A2BA-40DA-BE2C-D81E8A276234}" name="GANANCIA " dataDxfId="19">
      <calculatedColumnFormula>_xlfn.IFNA(Tabla9[[#This Row],[COSTO  PIEZA/SERVICIO]]+(Tabla9[[#This Row],[COSTO  PIEZA/SERVICIO]]*$I$6)," ")</calculatedColumnFormula>
    </tableColumn>
    <tableColumn id="5" xr3:uid="{6A6ACCA8-62D5-4A83-ACFB-96466221D3AB}" name="COSTO TOTAL DE PRODUCTOS " dataDxfId="18">
      <calculatedColumnFormula>SUMIF(B:B,Tabla9[[#This Row],[ID]],E:E)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D071FE8-4CC1-4050-A00D-555A744B395B}" name="Tabla10" displayName="Tabla10" ref="A5:J21" totalsRowShown="0" headerRowDxfId="14" dataDxfId="12" headerRowBorderDxfId="13" tableBorderDxfId="11" totalsRowBorderDxfId="10">
  <autoFilter ref="A5:J21" xr:uid="{1D071FE8-4CC1-4050-A00D-555A744B395B}"/>
  <tableColumns count="10">
    <tableColumn id="1" xr3:uid="{B37709C1-849A-4085-9715-D1F98C357B5B}" name="ID SERVICIO" dataDxfId="9"/>
    <tableColumn id="2" xr3:uid="{6D306D4C-48A6-42F6-96BF-996973A7F9A4}" name="BIEN O PRODUCTO" dataDxfId="8">
      <calculatedColumnFormula>VLOOKUP(A6,Tabla1[#All],2,0)</calculatedColumnFormula>
    </tableColumn>
    <tableColumn id="3" xr3:uid="{D965A494-BF68-4F09-8352-1C328F73DEDF}" name="FECHA DE INGRESO" dataDxfId="7">
      <calculatedColumnFormula>VLOOKUP(A6,Tabla1[#All],3,FALSE)</calculatedColumnFormula>
    </tableColumn>
    <tableColumn id="4" xr3:uid="{A7015FB3-2504-4483-9145-BA0D0A93A9FC}" name="FECHA DE EGRESO" dataDxfId="6">
      <calculatedColumnFormula>VLOOKUP(A6,Tabla1[#All],5,FALSE)</calculatedColumnFormula>
    </tableColumn>
    <tableColumn id="5" xr3:uid="{5672F367-33CE-42C9-8FAE-3FC0C9599A08}" name="DIAS POR CERRAR ENTREGA" dataDxfId="5">
      <calculatedColumnFormula>(D6-C6)</calculatedColumnFormula>
    </tableColumn>
    <tableColumn id="6" xr3:uid="{38B5ADA5-32C5-48EC-B3DA-3E2900975DB8}" name="ADELANTO POR SERVICIO " dataDxfId="4">
      <calculatedColumnFormula>VLOOKUP(A6,Tabla1[#All],6,FALSE)</calculatedColumnFormula>
    </tableColumn>
    <tableColumn id="7" xr3:uid="{AE92971A-11A3-40F4-A4C0-ED2E1D4B6562}" name="COSTO DE PIEZAS/SERVICIO" dataDxfId="3">
      <calculatedColumnFormula>_xlfn.IFNA(VLOOKUP(A6,Tabla9[[#All],[ID]:[COSTO TOTAL DE PRODUCTOS ]],5,0)," ")</calculatedColumnFormula>
    </tableColumn>
    <tableColumn id="8" xr3:uid="{0120D60D-33BC-40E3-99C9-C3A7639A67CF}" name="TOTAL A PAGAR" dataDxfId="2">
      <calculatedColumnFormula>SUM(F6,G6)</calculatedColumnFormula>
    </tableColumn>
    <tableColumn id="9" xr3:uid="{46F01CE5-0819-462F-84E9-916FED0389B1}" name="POR PAGAR" dataDxfId="1">
      <calculatedColumnFormula>SUM(H6-F6)</calculatedColumnFormula>
    </tableColumn>
    <tableColumn id="10" xr3:uid="{ACDD5A2F-A5F7-4D60-BD5D-37EE89891B17}" name="ENTREGAD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F5EFA1-295B-49CD-AAA0-FED2D7A0FA19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FF2F2-284A-44AA-ABF1-7CA7C0FEC84B}">
  <sheetPr codeName="Hoja1">
    <tabColor rgb="FFFFC000"/>
  </sheetPr>
  <dimension ref="F1:F4"/>
  <sheetViews>
    <sheetView zoomScale="80" workbookViewId="0">
      <selection activeCell="I12" sqref="I12"/>
    </sheetView>
  </sheetViews>
  <sheetFormatPr baseColWidth="10" defaultRowHeight="15" x14ac:dyDescent="0.25"/>
  <cols>
    <col min="1" max="4" width="11.42578125" style="4"/>
    <col min="5" max="5" width="34.42578125" style="4" customWidth="1"/>
    <col min="6" max="16384" width="11.42578125" style="4"/>
  </cols>
  <sheetData>
    <row r="1" spans="6:6" x14ac:dyDescent="0.25">
      <c r="F1" s="1"/>
    </row>
    <row r="4" spans="6:6" ht="31.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BA6E9-11FF-4566-AAA7-27AE8A56C39A}">
  <sheetPr codeName="Hoja2">
    <tabColor theme="3" tint="0.499984740745262"/>
  </sheetPr>
  <dimension ref="A1:F16"/>
  <sheetViews>
    <sheetView zoomScale="65" zoomScaleNormal="80" workbookViewId="0">
      <selection activeCell="F10" sqref="F10"/>
    </sheetView>
  </sheetViews>
  <sheetFormatPr baseColWidth="10" defaultRowHeight="15" x14ac:dyDescent="0.25"/>
  <cols>
    <col min="1" max="3" width="11.42578125" style="1"/>
    <col min="4" max="4" width="58" style="1" customWidth="1"/>
    <col min="5" max="16384" width="11.42578125" style="1"/>
  </cols>
  <sheetData>
    <row r="1" spans="1:6" ht="16.5" x14ac:dyDescent="0.3">
      <c r="A1" s="8"/>
      <c r="D1" s="2"/>
      <c r="F1" s="3"/>
    </row>
    <row r="2" spans="1:6" x14ac:dyDescent="0.25">
      <c r="D2" s="2"/>
    </row>
    <row r="8" spans="1:6" ht="5.25" customHeight="1" x14ac:dyDescent="0.25"/>
    <row r="9" spans="1:6" ht="7.5" customHeight="1" x14ac:dyDescent="0.25">
      <c r="D9" s="1" t="s">
        <v>8</v>
      </c>
    </row>
    <row r="10" spans="1:6" ht="40.5" customHeight="1" x14ac:dyDescent="0.25">
      <c r="B10" s="43"/>
      <c r="C10" s="43"/>
      <c r="D10" s="7"/>
    </row>
    <row r="11" spans="1:6" ht="54" customHeight="1" x14ac:dyDescent="0.25">
      <c r="B11" s="43"/>
      <c r="C11" s="43"/>
      <c r="D11" s="7"/>
    </row>
    <row r="12" spans="1:6" ht="44.25" customHeight="1" x14ac:dyDescent="0.4">
      <c r="B12" s="43"/>
      <c r="C12" s="43"/>
      <c r="D12" s="7"/>
      <c r="F12" s="5"/>
    </row>
    <row r="13" spans="1:6" ht="66.75" customHeight="1" x14ac:dyDescent="0.25">
      <c r="B13" s="43"/>
      <c r="C13" s="43"/>
      <c r="D13" s="7"/>
    </row>
    <row r="14" spans="1:6" ht="92.25" customHeight="1" x14ac:dyDescent="0.25">
      <c r="B14" s="43"/>
      <c r="C14" s="43"/>
      <c r="D14" s="6" t="str">
        <f ca="1">IFERROR(_xlfn.IMAGE("https://api.qrserver.com/v1/create-qr-code/?size200x200&amp;data="&amp;D11)," ")</f>
        <v xml:space="preserve"> </v>
      </c>
    </row>
    <row r="15" spans="1:6" ht="40.5" customHeight="1" x14ac:dyDescent="0.25"/>
    <row r="16" spans="1:6" x14ac:dyDescent="0.25">
      <c r="D16" s="1" t="s">
        <v>7</v>
      </c>
    </row>
  </sheetData>
  <mergeCells count="5">
    <mergeCell ref="B10:C10"/>
    <mergeCell ref="B11:C11"/>
    <mergeCell ref="B12:C12"/>
    <mergeCell ref="B13:C13"/>
    <mergeCell ref="B14:C1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F4A94-5506-4CFC-A259-EB28098767DA}">
  <sheetPr codeName="Hoja3">
    <tabColor rgb="FF00B050"/>
  </sheetPr>
  <dimension ref="A1:E20"/>
  <sheetViews>
    <sheetView showGridLines="0" workbookViewId="0">
      <pane ySplit="1" topLeftCell="A2" activePane="bottomLeft" state="frozen"/>
      <selection pane="bottomLeft" activeCell="F21" sqref="F21"/>
    </sheetView>
  </sheetViews>
  <sheetFormatPr baseColWidth="10" defaultRowHeight="15" x14ac:dyDescent="0.25"/>
  <cols>
    <col min="1" max="1" width="37.7109375" customWidth="1"/>
    <col min="3" max="3" width="19.85546875" customWidth="1"/>
    <col min="4" max="4" width="43.42578125" customWidth="1"/>
    <col min="5" max="5" width="35.140625" customWidth="1"/>
  </cols>
  <sheetData>
    <row r="1" spans="1:5" ht="60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12</v>
      </c>
      <c r="B2">
        <v>56</v>
      </c>
      <c r="C2">
        <v>45</v>
      </c>
      <c r="D2" t="s">
        <v>5</v>
      </c>
      <c r="E2" t="e" vm="1">
        <f>IFERROR(_xlfn.IMAGE("https://api.qrserver.com/v1/create-qr-code/?size200x200&amp;data="&amp;B2)," ")</f>
        <v>#VALUE!</v>
      </c>
    </row>
    <row r="3" spans="1:5" x14ac:dyDescent="0.25">
      <c r="A3" t="s">
        <v>10</v>
      </c>
      <c r="B3">
        <v>45</v>
      </c>
      <c r="C3">
        <v>7</v>
      </c>
      <c r="D3" t="s">
        <v>9</v>
      </c>
      <c r="E3" t="e" vm="2">
        <f t="shared" ref="E3:E20" si="0">IFERROR(_xlfn.IMAGE("https://api.qrserver.com/v1/create-qr-code/?size200x200&amp;data="&amp;B3)," ")</f>
        <v>#VALUE!</v>
      </c>
    </row>
    <row r="4" spans="1:5" x14ac:dyDescent="0.25">
      <c r="A4" t="s">
        <v>11</v>
      </c>
      <c r="B4">
        <v>988</v>
      </c>
      <c r="C4">
        <v>78</v>
      </c>
      <c r="D4" t="s">
        <v>6</v>
      </c>
      <c r="E4" t="e" vm="3">
        <f t="shared" si="0"/>
        <v>#VALUE!</v>
      </c>
    </row>
    <row r="5" spans="1:5" x14ac:dyDescent="0.25">
      <c r="A5" t="s">
        <v>13</v>
      </c>
      <c r="B5">
        <v>45</v>
      </c>
      <c r="C5">
        <v>23</v>
      </c>
      <c r="D5" t="s">
        <v>6</v>
      </c>
      <c r="E5" t="e" vm="2">
        <f t="shared" si="0"/>
        <v>#VALUE!</v>
      </c>
    </row>
    <row r="6" spans="1:5" x14ac:dyDescent="0.25">
      <c r="A6" t="s">
        <v>14</v>
      </c>
      <c r="B6">
        <v>89</v>
      </c>
      <c r="C6">
        <v>87</v>
      </c>
      <c r="D6" t="s">
        <v>6</v>
      </c>
      <c r="E6" t="e" vm="4">
        <f t="shared" si="0"/>
        <v>#VALUE!</v>
      </c>
    </row>
    <row r="7" spans="1:5" x14ac:dyDescent="0.25">
      <c r="A7" t="s">
        <v>15</v>
      </c>
      <c r="B7">
        <v>44</v>
      </c>
      <c r="C7">
        <v>34</v>
      </c>
      <c r="D7" t="s">
        <v>6</v>
      </c>
      <c r="E7" t="e" vm="5">
        <f t="shared" si="0"/>
        <v>#VALUE!</v>
      </c>
    </row>
    <row r="8" spans="1:5" x14ac:dyDescent="0.25">
      <c r="A8" t="s">
        <v>16</v>
      </c>
      <c r="B8">
        <v>432</v>
      </c>
      <c r="C8">
        <v>56</v>
      </c>
      <c r="D8" t="s">
        <v>6</v>
      </c>
      <c r="E8" t="e" vm="6">
        <f t="shared" si="0"/>
        <v>#VALUE!</v>
      </c>
    </row>
    <row r="9" spans="1:5" x14ac:dyDescent="0.25">
      <c r="A9" t="s">
        <v>17</v>
      </c>
      <c r="B9">
        <v>345</v>
      </c>
      <c r="C9">
        <v>67</v>
      </c>
      <c r="D9" t="s">
        <v>5</v>
      </c>
      <c r="E9" t="e" vm="7">
        <f t="shared" si="0"/>
        <v>#VALUE!</v>
      </c>
    </row>
    <row r="10" spans="1:5" x14ac:dyDescent="0.25">
      <c r="A10" t="s">
        <v>18</v>
      </c>
      <c r="B10">
        <v>7876</v>
      </c>
      <c r="C10">
        <v>67</v>
      </c>
      <c r="D10" t="s">
        <v>5</v>
      </c>
      <c r="E10" t="e" vm="8">
        <f t="shared" si="0"/>
        <v>#VALUE!</v>
      </c>
    </row>
    <row r="11" spans="1:5" x14ac:dyDescent="0.25">
      <c r="A11" t="s">
        <v>16</v>
      </c>
      <c r="B11">
        <v>6577</v>
      </c>
      <c r="C11">
        <v>69</v>
      </c>
      <c r="D11" t="s">
        <v>9</v>
      </c>
      <c r="E11" t="e" vm="9">
        <f t="shared" si="0"/>
        <v>#VALUE!</v>
      </c>
    </row>
    <row r="12" spans="1:5" x14ac:dyDescent="0.25">
      <c r="A12" t="s">
        <v>18</v>
      </c>
      <c r="B12">
        <v>8976</v>
      </c>
      <c r="C12">
        <v>76</v>
      </c>
      <c r="D12" t="s">
        <v>5</v>
      </c>
      <c r="E12" t="e" vm="10">
        <f t="shared" si="0"/>
        <v>#VALUE!</v>
      </c>
    </row>
    <row r="13" spans="1:5" x14ac:dyDescent="0.25">
      <c r="A13" t="s">
        <v>10</v>
      </c>
      <c r="B13">
        <v>555</v>
      </c>
      <c r="C13">
        <v>87</v>
      </c>
      <c r="D13" t="s">
        <v>6</v>
      </c>
      <c r="E13" t="e" vm="11">
        <f t="shared" si="0"/>
        <v>#VALUE!</v>
      </c>
    </row>
    <row r="14" spans="1:5" x14ac:dyDescent="0.25">
      <c r="A14" t="s">
        <v>18</v>
      </c>
      <c r="B14">
        <v>344</v>
      </c>
      <c r="C14">
        <v>43</v>
      </c>
      <c r="D14" t="s">
        <v>5</v>
      </c>
      <c r="E14" t="e" vm="12">
        <f t="shared" si="0"/>
        <v>#VALUE!</v>
      </c>
    </row>
    <row r="15" spans="1:5" x14ac:dyDescent="0.25">
      <c r="A15" t="s">
        <v>19</v>
      </c>
      <c r="B15">
        <v>354</v>
      </c>
      <c r="C15">
        <v>65</v>
      </c>
      <c r="D15" t="s">
        <v>5</v>
      </c>
      <c r="E15" t="e" vm="13">
        <f t="shared" si="0"/>
        <v>#VALUE!</v>
      </c>
    </row>
    <row r="16" spans="1:5" x14ac:dyDescent="0.25">
      <c r="A16" t="s">
        <v>23</v>
      </c>
      <c r="B16">
        <v>1</v>
      </c>
      <c r="C16">
        <v>20</v>
      </c>
      <c r="D16" t="s">
        <v>6</v>
      </c>
      <c r="E16" t="e" vm="14">
        <f t="shared" si="0"/>
        <v>#VALUE!</v>
      </c>
    </row>
    <row r="17" spans="1:5" x14ac:dyDescent="0.25">
      <c r="A17" t="s">
        <v>26</v>
      </c>
      <c r="B17">
        <v>988</v>
      </c>
      <c r="C17">
        <v>2</v>
      </c>
      <c r="D17" t="s">
        <v>6</v>
      </c>
      <c r="E17" t="e" vm="3">
        <f t="shared" si="0"/>
        <v>#VALUE!</v>
      </c>
    </row>
    <row r="18" spans="1:5" x14ac:dyDescent="0.25">
      <c r="A18" t="s">
        <v>33</v>
      </c>
      <c r="B18">
        <v>89</v>
      </c>
      <c r="C18">
        <v>2</v>
      </c>
      <c r="D18" t="s">
        <v>5</v>
      </c>
      <c r="E18" t="e" vm="4">
        <f t="shared" si="0"/>
        <v>#VALUE!</v>
      </c>
    </row>
    <row r="19" spans="1:5" x14ac:dyDescent="0.25">
      <c r="A19" t="s">
        <v>34</v>
      </c>
      <c r="B19">
        <v>45</v>
      </c>
      <c r="C19">
        <v>67</v>
      </c>
      <c r="D19" t="s">
        <v>5</v>
      </c>
      <c r="E19" t="e" vm="2">
        <f t="shared" si="0"/>
        <v>#VALUE!</v>
      </c>
    </row>
    <row r="20" spans="1:5" x14ac:dyDescent="0.25">
      <c r="A20" t="s">
        <v>35</v>
      </c>
      <c r="B20">
        <v>56</v>
      </c>
      <c r="C20">
        <v>56</v>
      </c>
      <c r="D20" t="s">
        <v>6</v>
      </c>
      <c r="E20" t="e" vm="1">
        <f t="shared" si="0"/>
        <v>#VALUE!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0D5F-3024-4619-A348-DFAC184A8095}">
  <sheetPr codeName="Hoja4">
    <tabColor theme="6" tint="0.59999389629810485"/>
  </sheetPr>
  <dimension ref="B4:B13"/>
  <sheetViews>
    <sheetView zoomScale="80" zoomScaleNormal="80" workbookViewId="0">
      <selection activeCell="D9" sqref="D9"/>
    </sheetView>
  </sheetViews>
  <sheetFormatPr baseColWidth="10" defaultRowHeight="15" x14ac:dyDescent="0.25"/>
  <cols>
    <col min="1" max="1" width="41" style="1" customWidth="1"/>
    <col min="2" max="3" width="39.42578125" style="1" customWidth="1"/>
    <col min="4" max="4" width="45.140625" style="1" customWidth="1"/>
    <col min="5" max="5" width="23.28515625" style="1" customWidth="1"/>
    <col min="6" max="6" width="29.42578125" style="1" customWidth="1"/>
    <col min="7" max="16384" width="11.42578125" style="1"/>
  </cols>
  <sheetData>
    <row r="4" spans="2:2" ht="8.25" customHeight="1" x14ac:dyDescent="0.25"/>
    <row r="5" spans="2:2" ht="21.75" customHeight="1" x14ac:dyDescent="0.25"/>
    <row r="6" spans="2:2" ht="63.75" customHeight="1" x14ac:dyDescent="0.25">
      <c r="B6" s="12"/>
    </row>
    <row r="7" spans="2:2" ht="63.75" customHeight="1" x14ac:dyDescent="0.25">
      <c r="B7" s="12"/>
    </row>
    <row r="8" spans="2:2" ht="63.75" customHeight="1" x14ac:dyDescent="0.25">
      <c r="B8" s="13"/>
    </row>
    <row r="9" spans="2:2" ht="63.75" customHeight="1" x14ac:dyDescent="0.25">
      <c r="B9" s="12"/>
    </row>
    <row r="10" spans="2:2" ht="63.75" customHeight="1" x14ac:dyDescent="0.25">
      <c r="B10" s="13"/>
    </row>
    <row r="11" spans="2:2" ht="63.75" customHeight="1" x14ac:dyDescent="0.25">
      <c r="B11" s="12"/>
    </row>
    <row r="12" spans="2:2" ht="63.75" customHeight="1" x14ac:dyDescent="0.25">
      <c r="B12" s="9" t="str">
        <f ca="1">IFERROR(_xlfn.IMAGE("https://api.qrserver.com/v1/create-qrcode/?size200x200&amp;data="&amp;B6)," ")</f>
        <v xml:space="preserve"> </v>
      </c>
    </row>
    <row r="13" spans="2:2" ht="63.75" customHeigh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FBD10-FE1E-4E3C-B076-F6ECFB366E8F}">
  <sheetPr codeName="Hoja5">
    <tabColor theme="3" tint="0.499984740745262"/>
  </sheetPr>
  <dimension ref="A1:G16"/>
  <sheetViews>
    <sheetView showGridLines="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41" customWidth="1"/>
    <col min="2" max="3" width="39.42578125" customWidth="1"/>
    <col min="4" max="4" width="45.140625" customWidth="1"/>
    <col min="5" max="5" width="23.28515625" customWidth="1"/>
    <col min="6" max="6" width="29.42578125" customWidth="1"/>
    <col min="7" max="7" width="14" customWidth="1"/>
  </cols>
  <sheetData>
    <row r="1" spans="1:7" s="10" customFormat="1" ht="45" customHeight="1" x14ac:dyDescent="0.25">
      <c r="A1" s="11" t="s">
        <v>37</v>
      </c>
      <c r="B1" s="11" t="s">
        <v>72</v>
      </c>
      <c r="C1" s="11" t="s">
        <v>21</v>
      </c>
      <c r="D1" s="11" t="s">
        <v>73</v>
      </c>
      <c r="E1" s="11" t="s">
        <v>20</v>
      </c>
      <c r="F1" s="11" t="s">
        <v>22</v>
      </c>
      <c r="G1" s="11" t="s">
        <v>4</v>
      </c>
    </row>
    <row r="2" spans="1:7" s="10" customFormat="1" ht="45" customHeight="1" x14ac:dyDescent="0.25">
      <c r="A2" s="12">
        <v>4422</v>
      </c>
      <c r="B2" s="12" t="s">
        <v>58</v>
      </c>
      <c r="C2" s="13">
        <v>45928</v>
      </c>
      <c r="D2" s="12" t="s">
        <v>59</v>
      </c>
      <c r="E2" s="13">
        <v>45940</v>
      </c>
      <c r="F2" s="12">
        <v>443</v>
      </c>
      <c r="G2" s="9" t="e" vm="15">
        <f t="shared" ref="G2:G13" si="0">IFERROR(_xlfn.IMAGE("https://api.qrserver.com/v1/create-qr-code/?size200x200&amp;data="&amp;A2)," ")</f>
        <v>#VALUE!</v>
      </c>
    </row>
    <row r="3" spans="1:7" s="10" customFormat="1" ht="45" customHeight="1" x14ac:dyDescent="0.25">
      <c r="A3" s="12">
        <v>12222</v>
      </c>
      <c r="B3" s="12" t="s">
        <v>47</v>
      </c>
      <c r="C3" s="13">
        <v>37654</v>
      </c>
      <c r="D3" s="12" t="s">
        <v>59</v>
      </c>
      <c r="E3" s="13">
        <v>37715</v>
      </c>
      <c r="F3" s="12">
        <v>656</v>
      </c>
      <c r="G3" s="9" t="e" vm="16">
        <f t="shared" si="0"/>
        <v>#VALUE!</v>
      </c>
    </row>
    <row r="4" spans="1:7" s="10" customFormat="1" ht="45" customHeight="1" x14ac:dyDescent="0.25">
      <c r="A4" s="12">
        <v>444</v>
      </c>
      <c r="B4" s="12" t="s">
        <v>61</v>
      </c>
      <c r="C4" s="13">
        <v>44907</v>
      </c>
      <c r="D4" s="12" t="s">
        <v>59</v>
      </c>
      <c r="E4" s="13">
        <v>44909</v>
      </c>
      <c r="F4" s="12">
        <v>899</v>
      </c>
      <c r="G4" s="9" t="e" vm="17">
        <f t="shared" si="0"/>
        <v>#VALUE!</v>
      </c>
    </row>
    <row r="5" spans="1:7" s="10" customFormat="1" ht="45" customHeight="1" x14ac:dyDescent="0.25">
      <c r="A5" s="12">
        <v>122</v>
      </c>
      <c r="B5" s="12" t="s">
        <v>46</v>
      </c>
      <c r="C5" s="13">
        <v>45912</v>
      </c>
      <c r="D5" s="12" t="s">
        <v>59</v>
      </c>
      <c r="E5" s="13">
        <v>46003</v>
      </c>
      <c r="F5" s="12">
        <v>555</v>
      </c>
      <c r="G5" s="9" t="e" vm="18">
        <f t="shared" si="0"/>
        <v>#VALUE!</v>
      </c>
    </row>
    <row r="6" spans="1:7" s="10" customFormat="1" ht="45" customHeight="1" x14ac:dyDescent="0.25">
      <c r="A6" s="12">
        <v>1</v>
      </c>
      <c r="B6" s="12" t="s">
        <v>62</v>
      </c>
      <c r="C6" s="13">
        <v>37654</v>
      </c>
      <c r="D6" s="12" t="s">
        <v>32</v>
      </c>
      <c r="E6" s="13">
        <v>37715</v>
      </c>
      <c r="F6" s="12">
        <v>23</v>
      </c>
      <c r="G6" s="9" t="e" vm="14">
        <f t="shared" si="0"/>
        <v>#VALUE!</v>
      </c>
    </row>
    <row r="7" spans="1:7" s="10" customFormat="1" ht="45" customHeight="1" x14ac:dyDescent="0.25">
      <c r="A7" s="12">
        <v>2</v>
      </c>
      <c r="B7" s="12" t="s">
        <v>63</v>
      </c>
      <c r="C7" s="13">
        <v>44907</v>
      </c>
      <c r="D7" s="12" t="s">
        <v>31</v>
      </c>
      <c r="E7" s="13">
        <v>44909</v>
      </c>
      <c r="F7" s="12">
        <v>5433</v>
      </c>
      <c r="G7" s="9" t="e" vm="19">
        <f t="shared" si="0"/>
        <v>#VALUE!</v>
      </c>
    </row>
    <row r="8" spans="1:7" s="10" customFormat="1" ht="45" customHeight="1" x14ac:dyDescent="0.25">
      <c r="A8" s="12">
        <v>3</v>
      </c>
      <c r="B8" s="12" t="s">
        <v>27</v>
      </c>
      <c r="C8" s="13">
        <v>45912</v>
      </c>
      <c r="D8" s="12" t="s">
        <v>32</v>
      </c>
      <c r="E8" s="13">
        <v>46003</v>
      </c>
      <c r="F8" s="12">
        <v>766</v>
      </c>
      <c r="G8" s="9" t="e" vm="20">
        <f t="shared" si="0"/>
        <v>#VALUE!</v>
      </c>
    </row>
    <row r="9" spans="1:7" s="10" customFormat="1" ht="45" customHeight="1" x14ac:dyDescent="0.25">
      <c r="A9" s="12">
        <v>4</v>
      </c>
      <c r="B9" s="12" t="s">
        <v>30</v>
      </c>
      <c r="C9" s="13">
        <v>45922</v>
      </c>
      <c r="D9" s="12" t="s">
        <v>31</v>
      </c>
      <c r="E9" s="13">
        <v>45020</v>
      </c>
      <c r="F9" s="12">
        <v>499</v>
      </c>
      <c r="G9" s="9" t="e" vm="21">
        <f t="shared" si="0"/>
        <v>#VALUE!</v>
      </c>
    </row>
    <row r="10" spans="1:7" s="10" customFormat="1" ht="45" customHeight="1" x14ac:dyDescent="0.25">
      <c r="A10" s="12">
        <v>5</v>
      </c>
      <c r="B10" s="12" t="s">
        <v>64</v>
      </c>
      <c r="C10" s="13">
        <v>37654</v>
      </c>
      <c r="D10" s="12" t="s">
        <v>32</v>
      </c>
      <c r="E10" s="13">
        <v>44909</v>
      </c>
      <c r="F10" s="12">
        <v>599</v>
      </c>
      <c r="G10" s="9" t="e" vm="22">
        <f t="shared" si="0"/>
        <v>#VALUE!</v>
      </c>
    </row>
    <row r="11" spans="1:7" s="10" customFormat="1" ht="45" customHeight="1" x14ac:dyDescent="0.25">
      <c r="A11" s="12">
        <v>6</v>
      </c>
      <c r="B11" s="12" t="s">
        <v>65</v>
      </c>
      <c r="C11" s="13">
        <v>44907</v>
      </c>
      <c r="D11" s="12" t="s">
        <v>31</v>
      </c>
      <c r="E11" s="13">
        <v>46003</v>
      </c>
      <c r="F11" s="12">
        <v>23</v>
      </c>
      <c r="G11" s="9" t="e" vm="23">
        <f t="shared" si="0"/>
        <v>#VALUE!</v>
      </c>
    </row>
    <row r="12" spans="1:7" s="10" customFormat="1" ht="45" customHeight="1" x14ac:dyDescent="0.25">
      <c r="A12" s="12">
        <v>7</v>
      </c>
      <c r="B12" s="12" t="s">
        <v>66</v>
      </c>
      <c r="C12" s="13">
        <v>45912</v>
      </c>
      <c r="D12" s="12" t="s">
        <v>25</v>
      </c>
      <c r="E12" s="13">
        <v>37715</v>
      </c>
      <c r="F12" s="12">
        <v>2323</v>
      </c>
      <c r="G12" s="9" t="e" vm="24">
        <f t="shared" si="0"/>
        <v>#VALUE!</v>
      </c>
    </row>
    <row r="13" spans="1:7" s="10" customFormat="1" ht="45" customHeight="1" x14ac:dyDescent="0.25">
      <c r="A13" s="12">
        <v>8</v>
      </c>
      <c r="B13" s="12" t="s">
        <v>67</v>
      </c>
      <c r="C13" s="13">
        <v>37654</v>
      </c>
      <c r="D13" s="12" t="s">
        <v>29</v>
      </c>
      <c r="E13" s="13">
        <v>44909</v>
      </c>
      <c r="F13" s="12">
        <v>343</v>
      </c>
      <c r="G13" s="9" t="e" vm="25">
        <f t="shared" si="0"/>
        <v>#VALUE!</v>
      </c>
    </row>
    <row r="14" spans="1:7" s="10" customFormat="1" ht="45" customHeight="1" x14ac:dyDescent="0.25">
      <c r="A14" s="12">
        <v>9</v>
      </c>
      <c r="B14" s="12" t="s">
        <v>68</v>
      </c>
      <c r="C14" s="13">
        <v>44907</v>
      </c>
      <c r="D14" s="12" t="s">
        <v>25</v>
      </c>
      <c r="E14" s="13">
        <v>46003</v>
      </c>
      <c r="F14" s="12">
        <v>566</v>
      </c>
      <c r="G14" s="9" t="e" vm="26">
        <f t="shared" ref="G14:G16" si="1">IFERROR(_xlfn.IMAGE("https://api.qrserver.com/v1/create-qr-code/?size200x200&amp;data="&amp;A14)," ")</f>
        <v>#VALUE!</v>
      </c>
    </row>
    <row r="15" spans="1:7" s="10" customFormat="1" ht="45" customHeight="1" x14ac:dyDescent="0.25">
      <c r="A15" s="12">
        <v>10</v>
      </c>
      <c r="B15" s="12" t="s">
        <v>28</v>
      </c>
      <c r="C15" s="13">
        <v>45912</v>
      </c>
      <c r="D15" s="12" t="s">
        <v>29</v>
      </c>
      <c r="E15" s="13">
        <v>45940</v>
      </c>
      <c r="F15" s="12">
        <v>899</v>
      </c>
      <c r="G15" s="9" t="e" vm="27">
        <f t="shared" si="1"/>
        <v>#VALUE!</v>
      </c>
    </row>
    <row r="16" spans="1:7" s="10" customFormat="1" ht="45" customHeight="1" x14ac:dyDescent="0.25">
      <c r="A16" s="12">
        <v>11</v>
      </c>
      <c r="B16" s="12" t="s">
        <v>24</v>
      </c>
      <c r="C16" s="13">
        <v>45928</v>
      </c>
      <c r="D16" s="12" t="s">
        <v>25</v>
      </c>
      <c r="E16" s="13">
        <v>45930</v>
      </c>
      <c r="F16" s="12">
        <v>400</v>
      </c>
      <c r="G16" s="9" t="e" vm="28">
        <f t="shared" si="1"/>
        <v>#VALUE!</v>
      </c>
    </row>
  </sheetData>
  <conditionalFormatting sqref="A1:A1048576">
    <cfRule type="duplicateValues" dxfId="33" priority="1"/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829E-6338-452E-A5D2-381C0FA22581}">
  <sheetPr>
    <tabColor theme="5" tint="-0.249977111117893"/>
  </sheetPr>
  <dimension ref="A1:M23"/>
  <sheetViews>
    <sheetView showGridLines="0" workbookViewId="0">
      <selection activeCell="D5" sqref="D5"/>
    </sheetView>
  </sheetViews>
  <sheetFormatPr baseColWidth="10" defaultRowHeight="15" x14ac:dyDescent="0.25"/>
  <cols>
    <col min="1" max="1" width="26" customWidth="1"/>
    <col min="2" max="2" width="11.42578125" style="16"/>
    <col min="3" max="3" width="18.7109375" style="16" customWidth="1"/>
    <col min="4" max="4" width="24.42578125" style="16" customWidth="1"/>
    <col min="5" max="5" width="32.42578125" style="31" customWidth="1"/>
    <col min="6" max="6" width="22.5703125" style="29" customWidth="1"/>
    <col min="7" max="7" width="18.85546875" style="14" customWidth="1"/>
    <col min="8" max="8" width="12.28515625" customWidth="1"/>
    <col min="9" max="9" width="8.28515625" style="14" customWidth="1"/>
    <col min="10" max="10" width="14" style="16" customWidth="1"/>
    <col min="11" max="11" width="44" customWidth="1"/>
    <col min="12" max="12" width="32" style="14" customWidth="1"/>
    <col min="13" max="13" width="22" style="14" customWidth="1"/>
    <col min="14" max="14" width="22.85546875" customWidth="1"/>
    <col min="15" max="15" width="17.28515625" customWidth="1"/>
    <col min="16" max="16" width="19.28515625" customWidth="1"/>
    <col min="17" max="17" width="22.85546875" customWidth="1"/>
  </cols>
  <sheetData>
    <row r="1" spans="1:13" x14ac:dyDescent="0.25">
      <c r="D1" s="17"/>
      <c r="E1" s="29"/>
      <c r="F1" s="14"/>
      <c r="G1"/>
      <c r="H1" s="14"/>
      <c r="I1" s="16"/>
      <c r="J1"/>
      <c r="K1" s="14"/>
      <c r="M1"/>
    </row>
    <row r="2" spans="1:13" x14ac:dyDescent="0.25">
      <c r="D2" s="17"/>
      <c r="E2" s="29"/>
      <c r="F2" s="14"/>
      <c r="G2"/>
      <c r="H2" s="14"/>
      <c r="I2" s="16"/>
      <c r="J2"/>
      <c r="K2" s="14"/>
      <c r="M2"/>
    </row>
    <row r="3" spans="1:13" x14ac:dyDescent="0.25">
      <c r="D3" s="17"/>
      <c r="E3" s="29"/>
      <c r="F3" s="14"/>
      <c r="G3"/>
      <c r="H3" s="14"/>
      <c r="I3" s="16"/>
      <c r="J3"/>
      <c r="K3" s="14"/>
      <c r="M3"/>
    </row>
    <row r="4" spans="1:13" x14ac:dyDescent="0.25">
      <c r="D4" s="17"/>
      <c r="E4" s="29"/>
      <c r="F4" s="14"/>
      <c r="G4"/>
      <c r="H4" s="14"/>
      <c r="I4" s="16"/>
      <c r="J4"/>
      <c r="K4" s="14"/>
      <c r="M4"/>
    </row>
    <row r="5" spans="1:13" x14ac:dyDescent="0.25">
      <c r="D5" s="17"/>
      <c r="E5" s="29"/>
      <c r="F5" s="14"/>
      <c r="G5"/>
      <c r="H5" s="14"/>
      <c r="I5" s="16"/>
      <c r="J5"/>
      <c r="L5"/>
      <c r="M5"/>
    </row>
    <row r="6" spans="1:13" x14ac:dyDescent="0.25">
      <c r="D6" s="17"/>
      <c r="E6" s="29"/>
      <c r="F6" s="14"/>
      <c r="G6"/>
      <c r="H6" s="15" t="s">
        <v>36</v>
      </c>
      <c r="I6" s="18">
        <v>0.12</v>
      </c>
      <c r="J6"/>
      <c r="L6"/>
      <c r="M6"/>
    </row>
    <row r="7" spans="1:13" x14ac:dyDescent="0.25">
      <c r="A7" t="s">
        <v>72</v>
      </c>
      <c r="B7" s="16" t="s">
        <v>1</v>
      </c>
      <c r="C7" s="16" t="s">
        <v>54</v>
      </c>
      <c r="D7" s="17" t="s">
        <v>55</v>
      </c>
      <c r="E7" s="29" t="s">
        <v>48</v>
      </c>
      <c r="F7" s="14" t="s">
        <v>49</v>
      </c>
      <c r="G7"/>
      <c r="H7" s="14"/>
      <c r="I7" s="16"/>
      <c r="J7"/>
      <c r="L7"/>
      <c r="M7"/>
    </row>
    <row r="8" spans="1:13" x14ac:dyDescent="0.25">
      <c r="A8" t="str">
        <f>_xlfn.IFNA(VLOOKUP(Tabla9[[#This Row],[ID]],Tabla1[#All],2,0)," ")</f>
        <v>AIRE CONDICIONADO</v>
      </c>
      <c r="B8" s="16">
        <v>1</v>
      </c>
      <c r="C8" s="16" t="s">
        <v>50</v>
      </c>
      <c r="D8" s="17">
        <v>788</v>
      </c>
      <c r="E8" s="14">
        <f>_xlfn.IFNA(Tabla9[[#This Row],[COSTO  PIEZA/SERVICIO]]+(Tabla9[[#This Row],[COSTO  PIEZA/SERVICIO]]*$I$6)," ")</f>
        <v>882.56</v>
      </c>
      <c r="F8" s="14">
        <f>SUMIF(B:B,Tabla9[[#This Row],[ID]],E:E)</f>
        <v>1419.04</v>
      </c>
      <c r="G8"/>
      <c r="I8" s="16"/>
      <c r="J8"/>
      <c r="L8"/>
      <c r="M8"/>
    </row>
    <row r="9" spans="1:13" x14ac:dyDescent="0.25">
      <c r="A9" t="str">
        <f>_xlfn.IFNA(VLOOKUP(Tabla9[[#This Row],[ID]],Tabla1[#All],2,0)," ")</f>
        <v>REVOLUCIONES</v>
      </c>
      <c r="B9" s="16">
        <v>4</v>
      </c>
      <c r="C9" s="16" t="s">
        <v>51</v>
      </c>
      <c r="D9" s="17">
        <v>6777</v>
      </c>
      <c r="E9" s="14">
        <f>_xlfn.IFNA(Tabla9[[#This Row],[COSTO  PIEZA/SERVICIO]]+(Tabla9[[#This Row],[COSTO  PIEZA/SERVICIO]]*$I$6)," ")</f>
        <v>7590.24</v>
      </c>
      <c r="F9" s="14">
        <f>SUMIF(B:B,Tabla9[[#This Row],[ID]],E:E)</f>
        <v>7590.24</v>
      </c>
      <c r="G9"/>
      <c r="I9" s="16"/>
      <c r="J9"/>
      <c r="L9"/>
      <c r="M9"/>
    </row>
    <row r="10" spans="1:13" x14ac:dyDescent="0.25">
      <c r="A10" t="str">
        <f>_xlfn.IFNA(VLOOKUP(Tabla9[[#This Row],[ID]],Tabla1[#All],2,0)," ")</f>
        <v>ELECTRONICA</v>
      </c>
      <c r="B10" s="16">
        <v>12222</v>
      </c>
      <c r="C10" s="16" t="s">
        <v>27</v>
      </c>
      <c r="D10" s="17">
        <v>7464</v>
      </c>
      <c r="E10" s="14">
        <f>_xlfn.IFNA(Tabla9[[#This Row],[COSTO  PIEZA/SERVICIO]]+(Tabla9[[#This Row],[COSTO  PIEZA/SERVICIO]]*$I$6)," ")</f>
        <v>8359.68</v>
      </c>
      <c r="F10" s="14">
        <f>SUMIF(B:B,Tabla9[[#This Row],[ID]],E:E)</f>
        <v>8359.68</v>
      </c>
      <c r="G10"/>
      <c r="I10" s="16"/>
      <c r="J10"/>
      <c r="L10"/>
      <c r="M10"/>
    </row>
    <row r="11" spans="1:13" x14ac:dyDescent="0.25">
      <c r="A11" t="str">
        <f>_xlfn.IFNA(VLOOKUP(Tabla9[[#This Row],[ID]],Tabla1[#All],2,0)," ")</f>
        <v>AIRE CONDICIONADO</v>
      </c>
      <c r="B11" s="16">
        <v>1</v>
      </c>
      <c r="C11" s="16" t="s">
        <v>53</v>
      </c>
      <c r="D11" s="17">
        <v>456</v>
      </c>
      <c r="E11" s="14">
        <f>_xlfn.IFNA(Tabla9[[#This Row],[COSTO  PIEZA/SERVICIO]]+(Tabla9[[#This Row],[COSTO  PIEZA/SERVICIO]]*$I$6)," ")</f>
        <v>510.72</v>
      </c>
      <c r="F11" s="14">
        <f>SUMIF(B:B,Tabla9[[#This Row],[ID]],E:E)</f>
        <v>1419.04</v>
      </c>
      <c r="G11"/>
      <c r="I11" s="16"/>
      <c r="J11"/>
      <c r="L11"/>
      <c r="M11"/>
    </row>
    <row r="12" spans="1:13" x14ac:dyDescent="0.25">
      <c r="A12" t="str">
        <f>_xlfn.IFNA(VLOOKUP(Tabla9[[#This Row],[ID]],Tabla1[#All],2,0)," ")</f>
        <v>TARJETA</v>
      </c>
      <c r="B12" s="16">
        <v>7</v>
      </c>
      <c r="C12" s="16" t="s">
        <v>56</v>
      </c>
      <c r="D12" s="17">
        <v>56</v>
      </c>
      <c r="E12" s="14">
        <f>_xlfn.IFNA(Tabla9[[#This Row],[COSTO  PIEZA/SERVICIO]]+(Tabla9[[#This Row],[COSTO  PIEZA/SERVICIO]]*$I$6)," ")</f>
        <v>62.72</v>
      </c>
      <c r="F12" s="14">
        <f>SUMIF(B:B,Tabla9[[#This Row],[ID]],E:E)</f>
        <v>150.07999999999998</v>
      </c>
      <c r="G12"/>
      <c r="I12" s="16"/>
      <c r="J12"/>
      <c r="L12"/>
      <c r="M12"/>
    </row>
    <row r="13" spans="1:13" x14ac:dyDescent="0.25">
      <c r="A13" t="str">
        <f>_xlfn.IFNA(VLOOKUP(Tabla9[[#This Row],[ID]],Tabla1[#All],2,0)," ")</f>
        <v>AIRE CONDICIONADO</v>
      </c>
      <c r="B13" s="16">
        <v>1</v>
      </c>
      <c r="C13" s="16" t="s">
        <v>57</v>
      </c>
      <c r="D13" s="17">
        <v>23</v>
      </c>
      <c r="E13" s="14">
        <f>_xlfn.IFNA(Tabla9[[#This Row],[COSTO  PIEZA/SERVICIO]]+(Tabla9[[#This Row],[COSTO  PIEZA/SERVICIO]]*$I$6)," ")</f>
        <v>25.759999999999998</v>
      </c>
      <c r="F13" s="14">
        <f>SUMIF(B:B,Tabla9[[#This Row],[ID]],E:E)</f>
        <v>1419.04</v>
      </c>
      <c r="G13"/>
      <c r="I13" s="16"/>
      <c r="J13"/>
      <c r="L13"/>
      <c r="M13"/>
    </row>
    <row r="14" spans="1:13" x14ac:dyDescent="0.25">
      <c r="A14" t="str">
        <f>_xlfn.IFNA(VLOOKUP(Tabla9[[#This Row],[ID]],Tabla1[#All],2,0)," ")</f>
        <v>CALEFACCION</v>
      </c>
      <c r="B14" s="16">
        <v>444</v>
      </c>
      <c r="C14" s="16" t="s">
        <v>60</v>
      </c>
      <c r="D14" s="17">
        <v>899</v>
      </c>
      <c r="E14" s="14">
        <f>_xlfn.IFNA(Tabla9[[#This Row],[COSTO  PIEZA/SERVICIO]]+(Tabla9[[#This Row],[COSTO  PIEZA/SERVICIO]]*$I$6)," ")</f>
        <v>1006.88</v>
      </c>
      <c r="F14" s="14">
        <f>SUMIF(B:B,Tabla9[[#This Row],[ID]],E:E)</f>
        <v>1006.88</v>
      </c>
      <c r="G14"/>
      <c r="I14" s="16"/>
      <c r="J14"/>
      <c r="L14"/>
      <c r="M14"/>
    </row>
    <row r="15" spans="1:13" x14ac:dyDescent="0.25">
      <c r="A15" t="str">
        <f>_xlfn.IFNA(VLOOKUP(Tabla9[[#This Row],[ID]],Tabla1[#All],2,0)," ")</f>
        <v>TARJETA</v>
      </c>
      <c r="B15" s="16">
        <v>7</v>
      </c>
      <c r="C15" s="16" t="s">
        <v>69</v>
      </c>
      <c r="D15" s="17">
        <v>78</v>
      </c>
      <c r="E15" s="14">
        <f>_xlfn.IFNA(Tabla9[[#This Row],[COSTO  PIEZA/SERVICIO]]+(Tabla9[[#This Row],[COSTO  PIEZA/SERVICIO]]*$I$6)," ")</f>
        <v>87.36</v>
      </c>
      <c r="F15" s="14">
        <f>SUMIF(B:B,Tabla9[[#This Row],[ID]],E:E)</f>
        <v>150.07999999999998</v>
      </c>
      <c r="G15"/>
      <c r="I15" s="16"/>
      <c r="J15"/>
      <c r="L15"/>
      <c r="M15"/>
    </row>
    <row r="16" spans="1:13" x14ac:dyDescent="0.25">
      <c r="A16" t="str">
        <f>_xlfn.IFNA(VLOOKUP(Tabla9[[#This Row],[ID]],Tabla1[#All],2,0)," ")</f>
        <v>APAGADO</v>
      </c>
      <c r="B16" s="16">
        <v>6</v>
      </c>
      <c r="C16" s="16" t="s">
        <v>27</v>
      </c>
      <c r="D16" s="17">
        <v>76</v>
      </c>
      <c r="E16" s="14">
        <f>_xlfn.IFNA(Tabla9[[#This Row],[COSTO  PIEZA/SERVICIO]]+(Tabla9[[#This Row],[COSTO  PIEZA/SERVICIO]]*$I$6)," ")</f>
        <v>85.12</v>
      </c>
      <c r="F16" s="14">
        <f>SUMIF(B:B,Tabla9[[#This Row],[ID]],E:E)</f>
        <v>85.12</v>
      </c>
      <c r="G16"/>
      <c r="I16" s="16"/>
      <c r="J16"/>
      <c r="L16"/>
      <c r="M16"/>
    </row>
    <row r="17" spans="1:13" x14ac:dyDescent="0.25">
      <c r="A17" t="str">
        <f>_xlfn.IFNA(VLOOKUP(Tabla9[[#This Row],[ID]],Tabla1[#All],2,0)," ")</f>
        <v>SISTEMA DE AIRE</v>
      </c>
      <c r="B17" s="16">
        <v>4422</v>
      </c>
      <c r="C17" s="16" t="s">
        <v>70</v>
      </c>
      <c r="D17" s="17">
        <v>200</v>
      </c>
      <c r="E17" s="14">
        <f>_xlfn.IFNA(Tabla9[[#This Row],[COSTO  PIEZA/SERVICIO]]+(Tabla9[[#This Row],[COSTO  PIEZA/SERVICIO]]*$I$6)," ")</f>
        <v>224</v>
      </c>
      <c r="F17" s="14">
        <f>SUMIF(B:B,Tabla9[[#This Row],[ID]],E:E)</f>
        <v>224</v>
      </c>
      <c r="G17"/>
      <c r="I17" s="16"/>
      <c r="J17"/>
      <c r="L17"/>
      <c r="M17"/>
    </row>
    <row r="18" spans="1:13" x14ac:dyDescent="0.25">
      <c r="A18" t="str">
        <f>_xlfn.IFNA(VLOOKUP(Tabla9[[#This Row],[ID]],Tabla1[#All],2,0)," ")</f>
        <v>BOBINA</v>
      </c>
      <c r="B18" s="16">
        <v>122</v>
      </c>
      <c r="C18" s="16" t="s">
        <v>71</v>
      </c>
      <c r="D18" s="17">
        <v>300</v>
      </c>
      <c r="E18" s="14">
        <f>_xlfn.IFNA(Tabla9[[#This Row],[COSTO  PIEZA/SERVICIO]]+(Tabla9[[#This Row],[COSTO  PIEZA/SERVICIO]]*$I$6)," ")</f>
        <v>336</v>
      </c>
      <c r="F18" s="14">
        <f>SUMIF(B:B,Tabla9[[#This Row],[ID]],E:E)</f>
        <v>336</v>
      </c>
      <c r="G18"/>
      <c r="I18" s="16"/>
      <c r="J18"/>
      <c r="L18"/>
      <c r="M18"/>
    </row>
    <row r="19" spans="1:13" x14ac:dyDescent="0.25">
      <c r="A19" t="str">
        <f>_xlfn.IFNA(VLOOKUP(Tabla9[[#This Row],[ID]],Tabla1[#All],2,0)," ")</f>
        <v>TIEMPO</v>
      </c>
      <c r="B19" s="16">
        <v>8</v>
      </c>
      <c r="D19" s="17">
        <v>99</v>
      </c>
      <c r="E19" s="14">
        <f>_xlfn.IFNA(Tabla9[[#This Row],[COSTO  PIEZA/SERVICIO]]+(Tabla9[[#This Row],[COSTO  PIEZA/SERVICIO]]*$I$6)," ")</f>
        <v>110.88</v>
      </c>
      <c r="F19" s="14">
        <f>SUMIF(B:B,Tabla9[[#This Row],[ID]],E:E)</f>
        <v>110.88</v>
      </c>
      <c r="G19"/>
      <c r="I19" s="16"/>
      <c r="J19"/>
      <c r="L19"/>
      <c r="M19"/>
    </row>
    <row r="20" spans="1:13" x14ac:dyDescent="0.25">
      <c r="A20" t="str">
        <f>_xlfn.IFNA(VLOOKUP(Tabla9[[#This Row],[ID]],Tabla1[#All],2,0)," ")</f>
        <v xml:space="preserve"> </v>
      </c>
      <c r="D20" s="17"/>
      <c r="E20" s="14">
        <f>_xlfn.IFNA(Tabla9[[#This Row],[COSTO  PIEZA/SERVICIO]]+(Tabla9[[#This Row],[COSTO  PIEZA/SERVICIO]]*$I$6)," ")</f>
        <v>0</v>
      </c>
      <c r="F20" s="14">
        <f>SUMIF(B:B,Tabla9[[#This Row],[ID]],E:E)</f>
        <v>0</v>
      </c>
      <c r="G20"/>
      <c r="I20" s="16"/>
      <c r="J20"/>
      <c r="L20"/>
      <c r="M20"/>
    </row>
    <row r="21" spans="1:13" x14ac:dyDescent="0.25">
      <c r="A21" t="str">
        <f>_xlfn.IFNA(VLOOKUP(Tabla9[[#This Row],[ID]],Tabla1[#All],2,0)," ")</f>
        <v xml:space="preserve"> </v>
      </c>
      <c r="D21" s="17"/>
      <c r="E21" s="14">
        <f>_xlfn.IFNA(Tabla9[[#This Row],[COSTO  PIEZA/SERVICIO]]+(Tabla9[[#This Row],[COSTO  PIEZA/SERVICIO]]*$I$6)," ")</f>
        <v>0</v>
      </c>
      <c r="F21" s="14">
        <f>SUMIF(B:B,Tabla9[[#This Row],[ID]],E:E)</f>
        <v>0</v>
      </c>
      <c r="G21"/>
      <c r="I21" s="16"/>
      <c r="J21"/>
      <c r="L21"/>
      <c r="M21"/>
    </row>
    <row r="22" spans="1:13" x14ac:dyDescent="0.25">
      <c r="A22" t="str">
        <f>_xlfn.IFNA(VLOOKUP(Tabla9[[#This Row],[ID]],Tabla1[#All],2,0)," ")</f>
        <v xml:space="preserve"> </v>
      </c>
      <c r="D22" s="17"/>
      <c r="E22" s="30">
        <f>_xlfn.IFNA(Tabla9[[#This Row],[COSTO  PIEZA/SERVICIO]]+(Tabla9[[#This Row],[COSTO  PIEZA/SERVICIO]]*$I$6)," ")</f>
        <v>0</v>
      </c>
      <c r="F22" s="14">
        <f>SUMIF(B:B,Tabla9[[#This Row],[ID]],E:E)</f>
        <v>0</v>
      </c>
      <c r="G22"/>
      <c r="H22" s="14"/>
      <c r="I22" s="16"/>
      <c r="J22"/>
      <c r="K22" s="14"/>
      <c r="M22"/>
    </row>
    <row r="23" spans="1:13" x14ac:dyDescent="0.25">
      <c r="A23" t="str">
        <f>_xlfn.IFNA(VLOOKUP(Tabla9[[#This Row],[ID]],Tabla1[#All],2,0)," ")</f>
        <v xml:space="preserve"> </v>
      </c>
      <c r="D23" s="17"/>
      <c r="E23" s="30">
        <f>_xlfn.IFNA(Tabla9[[#This Row],[COSTO  PIEZA/SERVICIO]]+(Tabla9[[#This Row],[COSTO  PIEZA/SERVICIO]]*$I$6)," ")</f>
        <v>0</v>
      </c>
      <c r="F23" s="14">
        <f>SUMIF(B:B,Tabla9[[#This Row],[ID]],E:E)</f>
        <v>0</v>
      </c>
      <c r="G23"/>
      <c r="H23" s="14"/>
      <c r="I23" s="16"/>
      <c r="J23"/>
      <c r="K23" s="14"/>
      <c r="M23"/>
    </row>
  </sheetData>
  <sheetProtection algorithmName="SHA-512" hashValue="DdVf+SEbCavR4akXFzhjeg01r9L4+Op150Pw88TYpfho0YV8bk8nilHbzkruPC3yAsPVGalS67U9qc2XOs0pYg==" saltValue="Kti+Y8SJo7IuG3vlCXUp/w==" spinCount="100000" sheet="1" objects="1" scenarios="1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44062-BD9C-41E9-A9E8-33FA1B08B7B6}">
          <x14:formula1>
            <xm:f>'BD CONTROL REPARACION'!$A:$A</xm:f>
          </x14:formula1>
          <xm:sqref>B8:B23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6946F-58B5-4B40-8FD7-26647391D289}">
  <sheetPr>
    <tabColor theme="8" tint="0.39997558519241921"/>
  </sheetPr>
  <dimension ref="C2:D11"/>
  <sheetViews>
    <sheetView showGridLines="0" workbookViewId="0">
      <selection activeCell="E8" sqref="E8"/>
    </sheetView>
  </sheetViews>
  <sheetFormatPr baseColWidth="10" defaultRowHeight="15" x14ac:dyDescent="0.25"/>
  <cols>
    <col min="3" max="3" width="27.85546875" customWidth="1"/>
    <col min="4" max="4" width="31.42578125" style="19" customWidth="1"/>
    <col min="5" max="5" width="20.85546875" customWidth="1"/>
  </cols>
  <sheetData>
    <row r="2" spans="3:4" ht="38.25" customHeight="1" x14ac:dyDescent="0.25"/>
    <row r="3" spans="3:4" ht="26.25" customHeight="1" x14ac:dyDescent="0.3">
      <c r="C3" s="37" t="s">
        <v>37</v>
      </c>
      <c r="D3" s="32">
        <v>444</v>
      </c>
    </row>
    <row r="4" spans="3:4" ht="26.25" customHeight="1" x14ac:dyDescent="0.3">
      <c r="C4" s="37" t="s">
        <v>72</v>
      </c>
      <c r="D4" s="33" t="str">
        <f>VLOOKUP(D3,Tabla1[#All],2,0)</f>
        <v>CALEFACCION</v>
      </c>
    </row>
    <row r="5" spans="3:4" ht="26.25" customHeight="1" x14ac:dyDescent="0.3">
      <c r="C5" s="37" t="s">
        <v>21</v>
      </c>
      <c r="D5" s="34">
        <f>VLOOKUP(D3,Tabla1[#All],3,FALSE)</f>
        <v>44907</v>
      </c>
    </row>
    <row r="6" spans="3:4" ht="26.25" customHeight="1" x14ac:dyDescent="0.3">
      <c r="C6" s="37" t="s">
        <v>38</v>
      </c>
      <c r="D6" s="34">
        <f>VLOOKUP(D3,Tabla1[#All],5,FALSE)</f>
        <v>44909</v>
      </c>
    </row>
    <row r="7" spans="3:4" ht="26.25" customHeight="1" x14ac:dyDescent="0.3">
      <c r="C7" s="37" t="s">
        <v>39</v>
      </c>
      <c r="D7" s="33">
        <f>(D6-D5)</f>
        <v>2</v>
      </c>
    </row>
    <row r="8" spans="3:4" ht="26.25" customHeight="1" x14ac:dyDescent="0.3">
      <c r="C8" s="37" t="s">
        <v>40</v>
      </c>
      <c r="D8" s="35">
        <f>VLOOKUP(D3,Tabla1[#All],6,FALSE)</f>
        <v>899</v>
      </c>
    </row>
    <row r="9" spans="3:4" ht="26.25" customHeight="1" x14ac:dyDescent="0.3">
      <c r="C9" s="37" t="s">
        <v>52</v>
      </c>
      <c r="D9" s="35">
        <f>_xlfn.IFNA(VLOOKUP(D3,Tabla9[[#All],[ID]:[COSTO TOTAL DE PRODUCTOS ]],5,0)," ")</f>
        <v>1006.88</v>
      </c>
    </row>
    <row r="10" spans="3:4" ht="26.25" customHeight="1" x14ac:dyDescent="0.3">
      <c r="C10" s="37" t="s">
        <v>41</v>
      </c>
      <c r="D10" s="35">
        <f>SUM(D8,D9)</f>
        <v>1905.88</v>
      </c>
    </row>
    <row r="11" spans="3:4" ht="39" customHeight="1" x14ac:dyDescent="0.3">
      <c r="C11" s="38" t="s">
        <v>42</v>
      </c>
      <c r="D11" s="36">
        <f>SUM(D10-D8)</f>
        <v>1006.8800000000001</v>
      </c>
    </row>
  </sheetData>
  <conditionalFormatting sqref="D1:D1048576">
    <cfRule type="cellIs" dxfId="17" priority="1" operator="less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12FF61-C977-486A-BD54-4E42C9E03FDE}">
          <x14:formula1>
            <xm:f>'BD CONTROL REPARACION'!$A:$A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76B4B-9FDF-4C33-AE26-85ECF9E40236}">
  <sheetPr>
    <tabColor rgb="FFC00000"/>
  </sheetPr>
  <dimension ref="A5:J21"/>
  <sheetViews>
    <sheetView workbookViewId="0">
      <selection activeCell="E10" sqref="E10"/>
    </sheetView>
  </sheetViews>
  <sheetFormatPr baseColWidth="10" defaultRowHeight="15" x14ac:dyDescent="0.25"/>
  <cols>
    <col min="1" max="1" width="15.7109375" style="16" customWidth="1"/>
    <col min="2" max="2" width="23.42578125" customWidth="1"/>
    <col min="3" max="3" width="23" customWidth="1"/>
    <col min="4" max="4" width="21.85546875" customWidth="1"/>
    <col min="5" max="5" width="32" customWidth="1"/>
    <col min="6" max="6" width="30.140625" customWidth="1"/>
    <col min="7" max="7" width="32.140625" customWidth="1"/>
    <col min="8" max="8" width="19.42578125" customWidth="1"/>
    <col min="9" max="9" width="15" customWidth="1"/>
    <col min="10" max="10" width="16.42578125" style="16" customWidth="1"/>
  </cols>
  <sheetData>
    <row r="5" spans="1:10" s="25" customFormat="1" ht="27.75" customHeight="1" x14ac:dyDescent="0.25">
      <c r="A5" s="39" t="s">
        <v>37</v>
      </c>
      <c r="B5" s="24" t="s">
        <v>72</v>
      </c>
      <c r="C5" s="24" t="s">
        <v>21</v>
      </c>
      <c r="D5" s="24" t="s">
        <v>38</v>
      </c>
      <c r="E5" s="24" t="s">
        <v>39</v>
      </c>
      <c r="F5" s="24" t="s">
        <v>40</v>
      </c>
      <c r="G5" s="24" t="s">
        <v>52</v>
      </c>
      <c r="H5" s="24" t="s">
        <v>41</v>
      </c>
      <c r="I5" s="24" t="s">
        <v>42</v>
      </c>
      <c r="J5" s="41" t="s">
        <v>74</v>
      </c>
    </row>
    <row r="6" spans="1:10" x14ac:dyDescent="0.25">
      <c r="A6" s="40">
        <v>6</v>
      </c>
      <c r="B6" s="20" t="str">
        <f>VLOOKUP(A6,Tabla1[#All],2,0)</f>
        <v>APAGADO</v>
      </c>
      <c r="C6" s="21">
        <f>VLOOKUP(A6,Tabla1[#All],3,FALSE)</f>
        <v>44907</v>
      </c>
      <c r="D6" s="21">
        <f>VLOOKUP(A6,Tabla1[#All],5,FALSE)</f>
        <v>46003</v>
      </c>
      <c r="E6" s="20">
        <f>(D6-C6)</f>
        <v>1096</v>
      </c>
      <c r="F6" s="22">
        <f>VLOOKUP(A6,Tabla1[#All],6,FALSE)</f>
        <v>23</v>
      </c>
      <c r="G6" s="22">
        <f>_xlfn.IFNA(VLOOKUP(A6,Tabla9[[#All],[ID]:[COSTO TOTAL DE PRODUCTOS ]],5,0)," ")</f>
        <v>85.12</v>
      </c>
      <c r="H6" s="22">
        <f>SUM(F6,G6)</f>
        <v>108.12</v>
      </c>
      <c r="I6" s="23">
        <f>SUM(H6-F6)</f>
        <v>85.12</v>
      </c>
      <c r="J6" s="42" t="s">
        <v>77</v>
      </c>
    </row>
    <row r="7" spans="1:10" x14ac:dyDescent="0.25">
      <c r="A7" s="40">
        <v>5</v>
      </c>
      <c r="B7" s="20" t="str">
        <f>VLOOKUP(A7,Tabla1[#All],2,0)</f>
        <v>ENCHUFE</v>
      </c>
      <c r="C7" s="21">
        <f>VLOOKUP(A7,Tabla1[#All],3,FALSE)</f>
        <v>37654</v>
      </c>
      <c r="D7" s="21">
        <f>VLOOKUP(A7,Tabla1[#All],5,FALSE)</f>
        <v>44909</v>
      </c>
      <c r="E7" s="20">
        <f t="shared" ref="E7:E12" si="0">(D7-C7)</f>
        <v>7255</v>
      </c>
      <c r="F7" s="22">
        <f>VLOOKUP(A7,Tabla1[#All],6,FALSE)</f>
        <v>599</v>
      </c>
      <c r="G7" s="22" t="str">
        <f>_xlfn.IFNA(VLOOKUP(A7,Tabla9[[#All],[ID]:[COSTO TOTAL DE PRODUCTOS ]],5,0)," ")</f>
        <v xml:space="preserve"> </v>
      </c>
      <c r="H7" s="22">
        <f t="shared" ref="H7:H12" si="1">SUM(F7,G7)</f>
        <v>599</v>
      </c>
      <c r="I7" s="23">
        <f t="shared" ref="I7:I12" si="2">SUM(H7-F7)</f>
        <v>0</v>
      </c>
      <c r="J7" s="42" t="s">
        <v>78</v>
      </c>
    </row>
    <row r="8" spans="1:10" x14ac:dyDescent="0.25">
      <c r="A8" s="40">
        <v>4422</v>
      </c>
      <c r="B8" s="20" t="str">
        <f>VLOOKUP(A8,Tabla1[#All],2,0)</f>
        <v>SISTEMA DE AIRE</v>
      </c>
      <c r="C8" s="21">
        <f>VLOOKUP(A8,Tabla1[#All],3,FALSE)</f>
        <v>45928</v>
      </c>
      <c r="D8" s="21">
        <f>VLOOKUP(A8,Tabla1[#All],5,FALSE)</f>
        <v>45940</v>
      </c>
      <c r="E8" s="20">
        <f t="shared" si="0"/>
        <v>12</v>
      </c>
      <c r="F8" s="22">
        <f>VLOOKUP(A8,Tabla1[#All],6,FALSE)</f>
        <v>443</v>
      </c>
      <c r="G8" s="22">
        <f>_xlfn.IFNA(VLOOKUP(A8,Tabla9[[#All],[ID]:[COSTO TOTAL DE PRODUCTOS ]],5,0)," ")</f>
        <v>224</v>
      </c>
      <c r="H8" s="22">
        <f t="shared" si="1"/>
        <v>667</v>
      </c>
      <c r="I8" s="23">
        <f t="shared" si="2"/>
        <v>224</v>
      </c>
      <c r="J8" s="42" t="s">
        <v>77</v>
      </c>
    </row>
    <row r="9" spans="1:10" x14ac:dyDescent="0.25">
      <c r="A9" s="40">
        <v>444</v>
      </c>
      <c r="B9" s="20" t="str">
        <f>VLOOKUP(A9,Tabla1[#All],2,0)</f>
        <v>CALEFACCION</v>
      </c>
      <c r="C9" s="21">
        <f>VLOOKUP(A9,Tabla1[#All],3,FALSE)</f>
        <v>44907</v>
      </c>
      <c r="D9" s="21">
        <f>VLOOKUP(A9,Tabla1[#All],5,FALSE)</f>
        <v>44909</v>
      </c>
      <c r="E9" s="20">
        <f t="shared" si="0"/>
        <v>2</v>
      </c>
      <c r="F9" s="22">
        <f>VLOOKUP(A9,Tabla1[#All],6,FALSE)</f>
        <v>899</v>
      </c>
      <c r="G9" s="22">
        <f>_xlfn.IFNA(VLOOKUP(A9,Tabla9[[#All],[ID]:[COSTO TOTAL DE PRODUCTOS ]],5,0)," ")</f>
        <v>1006.88</v>
      </c>
      <c r="H9" s="22">
        <f t="shared" si="1"/>
        <v>1905.88</v>
      </c>
      <c r="I9" s="23">
        <f t="shared" si="2"/>
        <v>1006.8800000000001</v>
      </c>
      <c r="J9" s="42" t="s">
        <v>78</v>
      </c>
    </row>
    <row r="10" spans="1:10" x14ac:dyDescent="0.25">
      <c r="A10" s="40">
        <v>8</v>
      </c>
      <c r="B10" s="20" t="str">
        <f>VLOOKUP(A10,Tabla1[#All],2,0)</f>
        <v>TIEMPO</v>
      </c>
      <c r="C10" s="21">
        <f>VLOOKUP(A10,Tabla1[#All],3,FALSE)</f>
        <v>37654</v>
      </c>
      <c r="D10" s="21">
        <f>VLOOKUP(A10,Tabla1[#All],5,FALSE)</f>
        <v>44909</v>
      </c>
      <c r="E10" s="20">
        <f t="shared" si="0"/>
        <v>7255</v>
      </c>
      <c r="F10" s="22">
        <f>VLOOKUP(A10,Tabla1[#All],6,FALSE)</f>
        <v>343</v>
      </c>
      <c r="G10" s="22">
        <f>_xlfn.IFNA(VLOOKUP(A10,Tabla9[[#All],[ID]:[COSTO TOTAL DE PRODUCTOS ]],5,0)," ")</f>
        <v>110.88</v>
      </c>
      <c r="H10" s="22">
        <f t="shared" si="1"/>
        <v>453.88</v>
      </c>
      <c r="I10" s="23">
        <f t="shared" si="2"/>
        <v>110.88</v>
      </c>
      <c r="J10" s="42" t="s">
        <v>78</v>
      </c>
    </row>
    <row r="11" spans="1:10" x14ac:dyDescent="0.25">
      <c r="A11" s="40">
        <v>10</v>
      </c>
      <c r="B11" s="20" t="str">
        <f>VLOOKUP(A11,Tabla1[#All],2,0)</f>
        <v>EMBOBINADO</v>
      </c>
      <c r="C11" s="21">
        <f>VLOOKUP(A11,Tabla1[#All],3,FALSE)</f>
        <v>45912</v>
      </c>
      <c r="D11" s="21">
        <f>VLOOKUP(A11,Tabla1[#All],5,FALSE)</f>
        <v>45940</v>
      </c>
      <c r="E11" s="20">
        <f t="shared" si="0"/>
        <v>28</v>
      </c>
      <c r="F11" s="22">
        <f>VLOOKUP(A11,Tabla1[#All],6,FALSE)</f>
        <v>899</v>
      </c>
      <c r="G11" s="22" t="str">
        <f>_xlfn.IFNA(VLOOKUP(A11,Tabla9[[#All],[ID]:[COSTO TOTAL DE PRODUCTOS ]],5,0)," ")</f>
        <v xml:space="preserve"> </v>
      </c>
      <c r="H11" s="22">
        <f t="shared" si="1"/>
        <v>899</v>
      </c>
      <c r="I11" s="23">
        <f t="shared" si="2"/>
        <v>0</v>
      </c>
      <c r="J11" s="42" t="s">
        <v>78</v>
      </c>
    </row>
    <row r="12" spans="1:10" x14ac:dyDescent="0.25">
      <c r="A12" s="40">
        <v>1</v>
      </c>
      <c r="B12" s="20" t="str">
        <f>VLOOKUP(A12,Tabla1[#All],2,0)</f>
        <v>AIRE CONDICIONADO</v>
      </c>
      <c r="C12" s="21">
        <f>VLOOKUP(A12,Tabla1[#All],3,FALSE)</f>
        <v>37654</v>
      </c>
      <c r="D12" s="21">
        <f>VLOOKUP(A12,Tabla1[#All],5,FALSE)</f>
        <v>37715</v>
      </c>
      <c r="E12" s="20">
        <f t="shared" si="0"/>
        <v>61</v>
      </c>
      <c r="F12" s="22">
        <f>VLOOKUP(A12,Tabla1[#All],6,FALSE)</f>
        <v>23</v>
      </c>
      <c r="G12" s="22">
        <f>_xlfn.IFNA(VLOOKUP(A12,Tabla9[[#All],[ID]:[COSTO TOTAL DE PRODUCTOS ]],5,0)," ")</f>
        <v>1419.04</v>
      </c>
      <c r="H12" s="22">
        <f t="shared" si="1"/>
        <v>1442.04</v>
      </c>
      <c r="I12" s="23">
        <f t="shared" si="2"/>
        <v>1419.04</v>
      </c>
      <c r="J12" s="42" t="s">
        <v>78</v>
      </c>
    </row>
    <row r="13" spans="1:10" x14ac:dyDescent="0.25">
      <c r="A13" s="40">
        <v>4</v>
      </c>
      <c r="B13" s="20" t="str">
        <f>VLOOKUP(A13,Tabla1[#All],2,0)</f>
        <v>REVOLUCIONES</v>
      </c>
      <c r="C13" s="21">
        <f>VLOOKUP(A13,Tabla1[#All],3,FALSE)</f>
        <v>45922</v>
      </c>
      <c r="D13" s="21">
        <f>VLOOKUP(A13,Tabla1[#All],5,FALSE)</f>
        <v>45020</v>
      </c>
      <c r="E13" s="20">
        <f t="shared" ref="E13:E21" si="3">(D13-C13)</f>
        <v>-902</v>
      </c>
      <c r="F13" s="22">
        <f>VLOOKUP(A13,Tabla1[#All],6,FALSE)</f>
        <v>499</v>
      </c>
      <c r="G13" s="22">
        <f>_xlfn.IFNA(VLOOKUP(A13,Tabla9[[#All],[ID]:[COSTO TOTAL DE PRODUCTOS ]],5,0)," ")</f>
        <v>7590.24</v>
      </c>
      <c r="H13" s="22">
        <f t="shared" ref="H13:H21" si="4">SUM(F13,G13)</f>
        <v>8089.24</v>
      </c>
      <c r="I13" s="23">
        <f t="shared" ref="I13:I21" si="5">SUM(H13-F13)</f>
        <v>7590.24</v>
      </c>
      <c r="J13" s="42" t="s">
        <v>78</v>
      </c>
    </row>
    <row r="14" spans="1:10" x14ac:dyDescent="0.25">
      <c r="A14" s="40">
        <v>7</v>
      </c>
      <c r="B14" s="20" t="str">
        <f>VLOOKUP(A14,Tabla1[#All],2,0)</f>
        <v>TARJETA</v>
      </c>
      <c r="C14" s="21">
        <f>VLOOKUP(A14,Tabla1[#All],3,FALSE)</f>
        <v>45912</v>
      </c>
      <c r="D14" s="21">
        <f>VLOOKUP(A14,Tabla1[#All],5,FALSE)</f>
        <v>37715</v>
      </c>
      <c r="E14" s="20">
        <f t="shared" si="3"/>
        <v>-8197</v>
      </c>
      <c r="F14" s="22">
        <f>VLOOKUP(A14,Tabla1[#All],6,FALSE)</f>
        <v>2323</v>
      </c>
      <c r="G14" s="22">
        <f>_xlfn.IFNA(VLOOKUP(A14,Tabla9[[#All],[ID]:[COSTO TOTAL DE PRODUCTOS ]],5,0)," ")</f>
        <v>150.07999999999998</v>
      </c>
      <c r="H14" s="22">
        <f t="shared" si="4"/>
        <v>2473.08</v>
      </c>
      <c r="I14" s="23">
        <f t="shared" si="5"/>
        <v>150.07999999999993</v>
      </c>
      <c r="J14" s="42" t="s">
        <v>77</v>
      </c>
    </row>
    <row r="15" spans="1:10" x14ac:dyDescent="0.25">
      <c r="A15" s="40"/>
      <c r="B15" s="20" t="e">
        <f>VLOOKUP(A15,Tabla1[#All],2,0)</f>
        <v>#N/A</v>
      </c>
      <c r="C15" s="21" t="e">
        <f>VLOOKUP(A15,Tabla1[#All],3,FALSE)</f>
        <v>#N/A</v>
      </c>
      <c r="D15" s="21" t="e">
        <f>VLOOKUP(A15,Tabla1[#All],5,FALSE)</f>
        <v>#N/A</v>
      </c>
      <c r="E15" s="20" t="e">
        <f t="shared" si="3"/>
        <v>#N/A</v>
      </c>
      <c r="F15" s="22" t="e">
        <f>VLOOKUP(A15,Tabla1[#All],6,FALSE)</f>
        <v>#N/A</v>
      </c>
      <c r="G15" s="22" t="str">
        <f>_xlfn.IFNA(VLOOKUP(A15,Tabla9[[#All],[ID]:[COSTO TOTAL DE PRODUCTOS ]],5,0)," ")</f>
        <v xml:space="preserve"> </v>
      </c>
      <c r="H15" s="22" t="e">
        <f t="shared" si="4"/>
        <v>#N/A</v>
      </c>
      <c r="I15" s="23" t="e">
        <f t="shared" si="5"/>
        <v>#N/A</v>
      </c>
      <c r="J15" s="42"/>
    </row>
    <row r="16" spans="1:10" x14ac:dyDescent="0.25">
      <c r="A16" s="40"/>
      <c r="B16" s="20" t="e">
        <f>VLOOKUP(A16,Tabla1[#All],2,0)</f>
        <v>#N/A</v>
      </c>
      <c r="C16" s="21" t="e">
        <f>VLOOKUP(A16,Tabla1[#All],3,FALSE)</f>
        <v>#N/A</v>
      </c>
      <c r="D16" s="21" t="e">
        <f>VLOOKUP(A16,Tabla1[#All],5,FALSE)</f>
        <v>#N/A</v>
      </c>
      <c r="E16" s="20" t="e">
        <f t="shared" si="3"/>
        <v>#N/A</v>
      </c>
      <c r="F16" s="22" t="e">
        <f>VLOOKUP(A16,Tabla1[#All],6,FALSE)</f>
        <v>#N/A</v>
      </c>
      <c r="G16" s="22" t="str">
        <f>_xlfn.IFNA(VLOOKUP(A16,Tabla9[[#All],[ID]:[COSTO TOTAL DE PRODUCTOS ]],5,0)," ")</f>
        <v xml:space="preserve"> </v>
      </c>
      <c r="H16" s="22" t="e">
        <f t="shared" si="4"/>
        <v>#N/A</v>
      </c>
      <c r="I16" s="23" t="e">
        <f t="shared" si="5"/>
        <v>#N/A</v>
      </c>
      <c r="J16" s="42"/>
    </row>
    <row r="17" spans="1:10" x14ac:dyDescent="0.25">
      <c r="A17" s="40"/>
      <c r="B17" s="20" t="e">
        <f>VLOOKUP(A17,Tabla1[#All],2,0)</f>
        <v>#N/A</v>
      </c>
      <c r="C17" s="21" t="e">
        <f>VLOOKUP(A17,Tabla1[#All],3,FALSE)</f>
        <v>#N/A</v>
      </c>
      <c r="D17" s="21" t="e">
        <f>VLOOKUP(A17,Tabla1[#All],5,FALSE)</f>
        <v>#N/A</v>
      </c>
      <c r="E17" s="20" t="e">
        <f t="shared" si="3"/>
        <v>#N/A</v>
      </c>
      <c r="F17" s="22" t="e">
        <f>VLOOKUP(A17,Tabla1[#All],6,FALSE)</f>
        <v>#N/A</v>
      </c>
      <c r="G17" s="22" t="str">
        <f>_xlfn.IFNA(VLOOKUP(A17,Tabla9[[#All],[ID]:[COSTO TOTAL DE PRODUCTOS ]],5,0)," ")</f>
        <v xml:space="preserve"> </v>
      </c>
      <c r="H17" s="22" t="e">
        <f t="shared" si="4"/>
        <v>#N/A</v>
      </c>
      <c r="I17" s="23" t="e">
        <f t="shared" si="5"/>
        <v>#N/A</v>
      </c>
      <c r="J17" s="42"/>
    </row>
    <row r="18" spans="1:10" x14ac:dyDescent="0.25">
      <c r="A18" s="40"/>
      <c r="B18" s="20" t="e">
        <f>VLOOKUP(A18,Tabla1[#All],2,0)</f>
        <v>#N/A</v>
      </c>
      <c r="C18" s="21" t="e">
        <f>VLOOKUP(A18,Tabla1[#All],3,FALSE)</f>
        <v>#N/A</v>
      </c>
      <c r="D18" s="21" t="e">
        <f>VLOOKUP(A18,Tabla1[#All],5,FALSE)</f>
        <v>#N/A</v>
      </c>
      <c r="E18" s="20" t="e">
        <f t="shared" si="3"/>
        <v>#N/A</v>
      </c>
      <c r="F18" s="22" t="e">
        <f>VLOOKUP(A18,Tabla1[#All],6,FALSE)</f>
        <v>#N/A</v>
      </c>
      <c r="G18" s="22" t="str">
        <f>_xlfn.IFNA(VLOOKUP(A18,Tabla9[[#All],[ID]:[COSTO TOTAL DE PRODUCTOS ]],5,0)," ")</f>
        <v xml:space="preserve"> </v>
      </c>
      <c r="H18" s="22" t="e">
        <f t="shared" si="4"/>
        <v>#N/A</v>
      </c>
      <c r="I18" s="23" t="e">
        <f t="shared" si="5"/>
        <v>#N/A</v>
      </c>
      <c r="J18" s="42"/>
    </row>
    <row r="19" spans="1:10" x14ac:dyDescent="0.25">
      <c r="A19" s="40"/>
      <c r="B19" s="20" t="e">
        <f>VLOOKUP(A19,Tabla1[#All],2,0)</f>
        <v>#N/A</v>
      </c>
      <c r="C19" s="21" t="e">
        <f>VLOOKUP(A19,Tabla1[#All],3,FALSE)</f>
        <v>#N/A</v>
      </c>
      <c r="D19" s="21" t="e">
        <f>VLOOKUP(A19,Tabla1[#All],5,FALSE)</f>
        <v>#N/A</v>
      </c>
      <c r="E19" s="20" t="e">
        <f t="shared" si="3"/>
        <v>#N/A</v>
      </c>
      <c r="F19" s="22" t="e">
        <f>VLOOKUP(A19,Tabla1[#All],6,FALSE)</f>
        <v>#N/A</v>
      </c>
      <c r="G19" s="22" t="str">
        <f>_xlfn.IFNA(VLOOKUP(A19,Tabla9[[#All],[ID]:[COSTO TOTAL DE PRODUCTOS ]],5,0)," ")</f>
        <v xml:space="preserve"> </v>
      </c>
      <c r="H19" s="22" t="e">
        <f t="shared" si="4"/>
        <v>#N/A</v>
      </c>
      <c r="I19" s="23" t="e">
        <f t="shared" si="5"/>
        <v>#N/A</v>
      </c>
      <c r="J19" s="42"/>
    </row>
    <row r="20" spans="1:10" x14ac:dyDescent="0.25">
      <c r="A20" s="40"/>
      <c r="B20" s="20" t="e">
        <f>VLOOKUP(A20,Tabla1[#All],2,0)</f>
        <v>#N/A</v>
      </c>
      <c r="C20" s="21" t="e">
        <f>VLOOKUP(A20,Tabla1[#All],3,FALSE)</f>
        <v>#N/A</v>
      </c>
      <c r="D20" s="21" t="e">
        <f>VLOOKUP(A20,Tabla1[#All],5,FALSE)</f>
        <v>#N/A</v>
      </c>
      <c r="E20" s="20" t="e">
        <f t="shared" si="3"/>
        <v>#N/A</v>
      </c>
      <c r="F20" s="22" t="e">
        <f>VLOOKUP(A20,Tabla1[#All],6,FALSE)</f>
        <v>#N/A</v>
      </c>
      <c r="G20" s="22" t="str">
        <f>_xlfn.IFNA(VLOOKUP(A20,Tabla9[[#All],[ID]:[COSTO TOTAL DE PRODUCTOS ]],5,0)," ")</f>
        <v xml:space="preserve"> </v>
      </c>
      <c r="H20" s="22" t="e">
        <f t="shared" si="4"/>
        <v>#N/A</v>
      </c>
      <c r="I20" s="23" t="e">
        <f t="shared" si="5"/>
        <v>#N/A</v>
      </c>
      <c r="J20" s="42"/>
    </row>
    <row r="21" spans="1:10" x14ac:dyDescent="0.25">
      <c r="A21" s="40"/>
      <c r="B21" s="20" t="e">
        <f>VLOOKUP(A21,Tabla1[#All],2,0)</f>
        <v>#N/A</v>
      </c>
      <c r="C21" s="21" t="e">
        <f>VLOOKUP(A21,Tabla1[#All],3,FALSE)</f>
        <v>#N/A</v>
      </c>
      <c r="D21" s="21" t="e">
        <f>VLOOKUP(A21,Tabla1[#All],5,FALSE)</f>
        <v>#N/A</v>
      </c>
      <c r="E21" s="20" t="e">
        <f t="shared" si="3"/>
        <v>#N/A</v>
      </c>
      <c r="F21" s="22" t="e">
        <f>VLOOKUP(A21,Tabla1[#All],6,FALSE)</f>
        <v>#N/A</v>
      </c>
      <c r="G21" s="22" t="str">
        <f>_xlfn.IFNA(VLOOKUP(A21,Tabla9[[#All],[ID]:[COSTO TOTAL DE PRODUCTOS ]],5,0)," ")</f>
        <v xml:space="preserve"> </v>
      </c>
      <c r="H21" s="22" t="e">
        <f t="shared" si="4"/>
        <v>#N/A</v>
      </c>
      <c r="I21" s="23" t="e">
        <f t="shared" si="5"/>
        <v>#N/A</v>
      </c>
      <c r="J21" s="42"/>
    </row>
  </sheetData>
  <conditionalFormatting sqref="A6:I21">
    <cfRule type="cellIs" dxfId="16" priority="2" operator="lessThan">
      <formula>0</formula>
    </cfRule>
  </conditionalFormatting>
  <conditionalFormatting sqref="A1:A1048576">
    <cfRule type="duplicateValues" dxfId="15" priority="1"/>
  </conditionalFormatting>
  <dataValidations count="1">
    <dataValidation type="list" allowBlank="1" showInputMessage="1" showErrorMessage="1" sqref="J1:J1048576" xr:uid="{095E2ADC-7EFD-4F02-8664-7E159648141A}">
      <formula1>"SI,NO,"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83E943-3178-4A05-817D-182C2D55F405}">
          <x14:formula1>
            <xm:f>'BD CONTROL REPARACION'!$A:$A</xm:f>
          </x14:formula1>
          <xm:sqref>A6:A21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05240-B8D8-4D20-8280-D6D55B8DD2BF}">
  <sheetPr>
    <tabColor rgb="FFFFFF00"/>
  </sheetPr>
  <dimension ref="D7:E21"/>
  <sheetViews>
    <sheetView showGridLines="0" tabSelected="1" workbookViewId="0">
      <selection activeCell="E5" sqref="E5"/>
    </sheetView>
  </sheetViews>
  <sheetFormatPr baseColWidth="10" defaultRowHeight="15" x14ac:dyDescent="0.25"/>
  <cols>
    <col min="4" max="4" width="23.42578125" bestFit="1" customWidth="1"/>
    <col min="5" max="5" width="22.140625" bestFit="1" customWidth="1"/>
    <col min="6" max="6" width="28.140625" bestFit="1" customWidth="1"/>
    <col min="7" max="7" width="14.140625" bestFit="1" customWidth="1"/>
    <col min="8" max="8" width="13.42578125" bestFit="1" customWidth="1"/>
    <col min="9" max="9" width="9.85546875" bestFit="1" customWidth="1"/>
    <col min="10" max="10" width="7.7109375" bestFit="1" customWidth="1"/>
    <col min="11" max="11" width="16.42578125" bestFit="1" customWidth="1"/>
    <col min="12" max="12" width="7.85546875" bestFit="1" customWidth="1"/>
    <col min="13" max="13" width="5.5703125" bestFit="1" customWidth="1"/>
    <col min="14" max="14" width="12.5703125" bestFit="1" customWidth="1"/>
  </cols>
  <sheetData>
    <row r="7" spans="4:5" x14ac:dyDescent="0.25">
      <c r="D7" s="26" t="s">
        <v>43</v>
      </c>
      <c r="E7" t="s">
        <v>44</v>
      </c>
    </row>
    <row r="8" spans="4:5" x14ac:dyDescent="0.25">
      <c r="D8" s="27" t="s">
        <v>78</v>
      </c>
      <c r="E8">
        <v>6</v>
      </c>
    </row>
    <row r="9" spans="4:5" x14ac:dyDescent="0.25">
      <c r="D9" s="28" t="s">
        <v>62</v>
      </c>
      <c r="E9">
        <v>1</v>
      </c>
    </row>
    <row r="10" spans="4:5" x14ac:dyDescent="0.25">
      <c r="D10" s="28" t="s">
        <v>61</v>
      </c>
      <c r="E10">
        <v>1</v>
      </c>
    </row>
    <row r="11" spans="4:5" x14ac:dyDescent="0.25">
      <c r="D11" s="28" t="s">
        <v>28</v>
      </c>
      <c r="E11">
        <v>1</v>
      </c>
    </row>
    <row r="12" spans="4:5" x14ac:dyDescent="0.25">
      <c r="D12" s="28" t="s">
        <v>64</v>
      </c>
      <c r="E12">
        <v>1</v>
      </c>
    </row>
    <row r="13" spans="4:5" x14ac:dyDescent="0.25">
      <c r="D13" s="28" t="s">
        <v>67</v>
      </c>
      <c r="E13">
        <v>1</v>
      </c>
    </row>
    <row r="14" spans="4:5" x14ac:dyDescent="0.25">
      <c r="D14" s="28" t="s">
        <v>30</v>
      </c>
      <c r="E14">
        <v>1</v>
      </c>
    </row>
    <row r="15" spans="4:5" x14ac:dyDescent="0.25">
      <c r="D15" s="27" t="s">
        <v>77</v>
      </c>
      <c r="E15">
        <v>3</v>
      </c>
    </row>
    <row r="16" spans="4:5" x14ac:dyDescent="0.25">
      <c r="D16" s="28" t="s">
        <v>65</v>
      </c>
      <c r="E16">
        <v>1</v>
      </c>
    </row>
    <row r="17" spans="4:5" x14ac:dyDescent="0.25">
      <c r="D17" s="28" t="s">
        <v>58</v>
      </c>
      <c r="E17">
        <v>1</v>
      </c>
    </row>
    <row r="18" spans="4:5" x14ac:dyDescent="0.25">
      <c r="D18" s="28" t="s">
        <v>66</v>
      </c>
      <c r="E18">
        <v>1</v>
      </c>
    </row>
    <row r="19" spans="4:5" x14ac:dyDescent="0.25">
      <c r="D19" s="27" t="s">
        <v>75</v>
      </c>
    </row>
    <row r="20" spans="4:5" x14ac:dyDescent="0.25">
      <c r="D20" s="28" t="s">
        <v>76</v>
      </c>
    </row>
    <row r="21" spans="4:5" x14ac:dyDescent="0.25">
      <c r="D21" s="27" t="s">
        <v>45</v>
      </c>
      <c r="E21">
        <v>9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MENU</vt:lpstr>
      <vt:lpstr>INVENTARIO</vt:lpstr>
      <vt:lpstr>BD INVENTARIO</vt:lpstr>
      <vt:lpstr>CONTROL REPARACION</vt:lpstr>
      <vt:lpstr>BD CONTROL REPARACION</vt:lpstr>
      <vt:lpstr>COSTO PIEZAS &amp; SERVICIOS</vt:lpstr>
      <vt:lpstr>PRESUPUESTO</vt:lpstr>
      <vt:lpstr>SALIDAS</vt:lpstr>
      <vt:lpstr>REPORTE MENSUAL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hp-360</dc:creator>
  <cp:lastModifiedBy>sandra infante</cp:lastModifiedBy>
  <dcterms:created xsi:type="dcterms:W3CDTF">2025-09-25T19:13:14Z</dcterms:created>
  <dcterms:modified xsi:type="dcterms:W3CDTF">2026-08-15T19:03:12Z</dcterms:modified>
</cp:coreProperties>
</file>